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1 Financial_Analysis_Project1/Excel/"/>
    </mc:Choice>
  </mc:AlternateContent>
  <xr:revisionPtr revIDLastSave="1" documentId="8_{AF0F7CD9-9F98-4BDB-80AF-DD4A69B0D5C4}" xr6:coauthVersionLast="47" xr6:coauthVersionMax="47" xr10:uidLastSave="{252B31AE-5526-4E97-BFC6-B9C26EC5FDE2}"/>
  <bookViews>
    <workbookView xWindow="-120" yWindow="-120" windowWidth="20730" windowHeight="11040" activeTab="4" xr2:uid="{00000000-000D-0000-FFFF-FFFF00000000}"/>
  </bookViews>
  <sheets>
    <sheet name="Raw data" sheetId="1" r:id="rId1"/>
    <sheet name="Ratios" sheetId="2" r:id="rId2"/>
    <sheet name="Dashboards" sheetId="3" r:id="rId3"/>
    <sheet name="Charts data" sheetId="4" r:id="rId4"/>
    <sheet name="CAGR" sheetId="5" r:id="rId5"/>
  </sheets>
  <definedNames>
    <definedName name="_xlnm._FilterDatabase" localSheetId="1" hidden="1">Ratios!$A$2:$A$10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3" l="1" a="1"/>
  <c r="D17" i="3" s="1"/>
  <c r="D16" i="3" a="1"/>
  <c r="D16" i="3" s="1"/>
  <c r="D15" i="3" a="1"/>
  <c r="D15" i="3" s="1"/>
  <c r="D13" i="3" a="1"/>
  <c r="D13" i="3" s="1"/>
  <c r="D12" i="3" a="1"/>
  <c r="D12" i="3" s="1"/>
  <c r="D11" i="3" a="1"/>
  <c r="D11" i="3" s="1"/>
  <c r="D14" i="3"/>
  <c r="D18" i="3"/>
  <c r="B3" i="4"/>
  <c r="C3" i="4"/>
  <c r="D3" i="4"/>
  <c r="B4" i="4"/>
  <c r="C4" i="4"/>
  <c r="D4" i="4"/>
  <c r="D5" i="4" s="1"/>
  <c r="B5" i="4"/>
  <c r="C5" i="4"/>
  <c r="B5" i="5"/>
  <c r="D4" i="5"/>
  <c r="D5" i="5" s="1"/>
  <c r="D6" i="5" s="1"/>
  <c r="B4" i="5"/>
  <c r="D3" i="5"/>
  <c r="C3" i="5"/>
  <c r="C4" i="5" s="1"/>
  <c r="C5" i="5" s="1"/>
  <c r="C6" i="5" s="1"/>
  <c r="B3" i="5"/>
  <c r="D10" i="3"/>
  <c r="C5" i="2"/>
  <c r="Z3" i="1"/>
  <c r="Z4" i="1"/>
  <c r="Z5" i="1"/>
  <c r="Z6" i="1"/>
  <c r="Z7" i="1"/>
  <c r="Z8" i="1"/>
  <c r="Z9" i="1"/>
  <c r="Z10" i="1"/>
  <c r="Z11" i="1"/>
  <c r="Z12" i="1"/>
  <c r="Z13" i="1"/>
  <c r="Z2" i="1"/>
  <c r="G8" i="3"/>
  <c r="G9" i="3"/>
  <c r="G10" i="3"/>
  <c r="G11" i="3"/>
  <c r="G12" i="3"/>
  <c r="G13" i="3"/>
  <c r="G14" i="3"/>
  <c r="G15" i="3"/>
  <c r="G16" i="3"/>
  <c r="G17" i="3"/>
  <c r="G18" i="3"/>
  <c r="G7" i="3"/>
  <c r="F7" i="3"/>
  <c r="H7" i="3" s="1"/>
  <c r="F8" i="3"/>
  <c r="F9" i="3"/>
  <c r="F10" i="3"/>
  <c r="F11" i="3"/>
  <c r="H11" i="3" s="1"/>
  <c r="F12" i="3"/>
  <c r="H12" i="3" s="1"/>
  <c r="F13" i="3"/>
  <c r="F14" i="3"/>
  <c r="F15" i="3"/>
  <c r="F16" i="3"/>
  <c r="F17" i="3"/>
  <c r="F18" i="3"/>
  <c r="E8" i="3"/>
  <c r="E9" i="3"/>
  <c r="E10" i="3"/>
  <c r="E11" i="3"/>
  <c r="E12" i="3"/>
  <c r="E13" i="3"/>
  <c r="E14" i="3"/>
  <c r="E15" i="3"/>
  <c r="E16" i="3"/>
  <c r="E17" i="3"/>
  <c r="E18" i="3"/>
  <c r="E7" i="3"/>
  <c r="D9" i="3"/>
  <c r="D8" i="3"/>
  <c r="D7" i="3"/>
  <c r="C2" i="2"/>
  <c r="C3" i="2"/>
  <c r="C4" i="2"/>
  <c r="C6" i="2"/>
  <c r="C7" i="2"/>
  <c r="C8" i="2"/>
  <c r="C9" i="2"/>
  <c r="C10" i="2"/>
  <c r="C11" i="2"/>
  <c r="C12" i="2"/>
  <c r="C13" i="2"/>
  <c r="D4" i="2"/>
  <c r="E4" i="2"/>
  <c r="F4" i="2"/>
  <c r="G4" i="2"/>
  <c r="H4" i="2"/>
  <c r="I4" i="2"/>
  <c r="D5" i="2"/>
  <c r="E5" i="2"/>
  <c r="F5" i="2"/>
  <c r="G5" i="2"/>
  <c r="H5" i="2"/>
  <c r="I5" i="2"/>
  <c r="D6" i="2"/>
  <c r="E6" i="2"/>
  <c r="F6" i="2"/>
  <c r="G6" i="2"/>
  <c r="H6" i="2"/>
  <c r="I6" i="2"/>
  <c r="D7" i="2"/>
  <c r="E7" i="2"/>
  <c r="F7" i="2"/>
  <c r="G7" i="2"/>
  <c r="H7" i="2"/>
  <c r="I7" i="2"/>
  <c r="D8" i="2"/>
  <c r="E8" i="2"/>
  <c r="F8" i="2"/>
  <c r="G8" i="2"/>
  <c r="H8" i="2"/>
  <c r="I8" i="2"/>
  <c r="D9" i="2"/>
  <c r="E9" i="2"/>
  <c r="F9" i="2"/>
  <c r="G9" i="2"/>
  <c r="H9" i="2"/>
  <c r="I9" i="2"/>
  <c r="D10" i="2"/>
  <c r="E10" i="2"/>
  <c r="F10" i="2"/>
  <c r="G10" i="2"/>
  <c r="H10" i="2"/>
  <c r="I10" i="2"/>
  <c r="D11" i="2"/>
  <c r="E11" i="2"/>
  <c r="F11" i="2"/>
  <c r="G11" i="2"/>
  <c r="H11" i="2"/>
  <c r="I11" i="2"/>
  <c r="D12" i="2"/>
  <c r="E12" i="2"/>
  <c r="F12" i="2"/>
  <c r="G12" i="2"/>
  <c r="H12" i="2"/>
  <c r="I12" i="2"/>
  <c r="D13" i="2"/>
  <c r="E13" i="2"/>
  <c r="F13" i="2"/>
  <c r="G13" i="2"/>
  <c r="H13" i="2"/>
  <c r="I13" i="2"/>
  <c r="D3" i="2"/>
  <c r="E3" i="2"/>
  <c r="F3" i="2"/>
  <c r="G3" i="2"/>
  <c r="H3" i="2"/>
  <c r="I3" i="2"/>
  <c r="I2" i="2"/>
  <c r="H2" i="2"/>
  <c r="G2" i="2"/>
  <c r="F2" i="2"/>
  <c r="E2" i="2"/>
  <c r="D2" i="2"/>
  <c r="B3" i="3"/>
  <c r="H17" i="3" l="1"/>
  <c r="H9" i="3"/>
  <c r="H16" i="3"/>
  <c r="H8" i="3"/>
  <c r="H13" i="3"/>
  <c r="H18" i="3"/>
  <c r="H10" i="3"/>
  <c r="H15" i="3"/>
  <c r="H14" i="3"/>
  <c r="B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<sst xmlns="http://schemas.openxmlformats.org/spreadsheetml/2006/main" count="87" uniqueCount="41">
  <si>
    <t>Company</t>
  </si>
  <si>
    <t>Year</t>
  </si>
  <si>
    <t>Revenue</t>
  </si>
  <si>
    <t>Cost_of_Sales</t>
  </si>
  <si>
    <t>Gross_Profit</t>
  </si>
  <si>
    <t>Operating_Expenses</t>
  </si>
  <si>
    <t>Operating_Profit</t>
  </si>
  <si>
    <t>Finance_Costs</t>
  </si>
  <si>
    <t>Net_Profit</t>
  </si>
  <si>
    <t>Cash</t>
  </si>
  <si>
    <t>Inventory</t>
  </si>
  <si>
    <t>Current_Assets</t>
  </si>
  <si>
    <t>Current_Liabilities</t>
  </si>
  <si>
    <t>Total_Assets</t>
  </si>
  <si>
    <t>Total_Liabilities</t>
  </si>
  <si>
    <t>Shareholders_Equity</t>
  </si>
  <si>
    <t>Short_Term_Debt</t>
  </si>
  <si>
    <t>Long_Term_Debt</t>
  </si>
  <si>
    <t>Current Ratio</t>
  </si>
  <si>
    <t>Debt-to-Equity</t>
  </si>
  <si>
    <t>JSE FOOD RETAILERS  -FINANCIAL ANALYSIS DASHBOARD</t>
  </si>
  <si>
    <t>Comparative performance Analysis (FY2022 - 2024)</t>
  </si>
  <si>
    <t>Metric</t>
  </si>
  <si>
    <t>Gross Margin (%)</t>
  </si>
  <si>
    <t>Net Profit Margin (%)</t>
  </si>
  <si>
    <t>Operating Margin (%)</t>
  </si>
  <si>
    <t>ROE (%)</t>
  </si>
  <si>
    <t>Inventory Turnover</t>
  </si>
  <si>
    <t>A</t>
  </si>
  <si>
    <t>B</t>
  </si>
  <si>
    <t>C</t>
  </si>
  <si>
    <t>D</t>
  </si>
  <si>
    <t>E</t>
  </si>
  <si>
    <t>Gross Margin %</t>
  </si>
  <si>
    <t>ROE %</t>
  </si>
  <si>
    <t>F</t>
  </si>
  <si>
    <t>Overall Risk Signal</t>
  </si>
  <si>
    <t>Highest Revenue CAGR</t>
  </si>
  <si>
    <t>Alpha Foods Holdings Ltd</t>
  </si>
  <si>
    <t>Beta Retail Group Ltd</t>
  </si>
  <si>
    <t>Gamma Consumer Stores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</si>
</sst>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43" formatCode="_-* #,##0.00_-;\-* #,##0.00_-;_-* &quot;-&quot;??_-;_-@_-"/>
    <numFmt numFmtId="164" formatCode="[$-F800]dddd\,\ mmmm\ dd\,\ yyyy"/>
    <numFmt numFmtId="165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theme="1"/>
      <name val="Arial Unicode MS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1" xfId="0" applyBorder="1"/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65" fontId="0" fillId="0" borderId="1" xfId="1" applyNumberFormat="1" applyFont="1" applyBorder="1" applyAlignment="1">
      <alignment horizontal="right" vertical="center" wrapText="1"/>
    </xf>
    <xf numFmtId="43" fontId="0" fillId="0" borderId="1" xfId="1" applyFont="1" applyBorder="1"/>
    <xf numFmtId="164" fontId="0" fillId="0" borderId="0" xfId="0" applyNumberFormat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0" fontId="0" fillId="0" borderId="1" xfId="2" applyNumberFormat="1" applyFont="1" applyBorder="1"/>
    <xf numFmtId="0" fontId="0" fillId="0" borderId="1" xfId="0" applyBorder="1" applyAlignment="1">
      <alignment horizontal="center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9" fontId="0" fillId="0" borderId="0" xfId="2" applyFont="1"/>
    <xf numFmtId="43" fontId="0" fillId="0" borderId="0" xfId="1" applyFont="1"/>
    <xf numFmtId="0" fontId="2" fillId="0" borderId="1" xfId="0" applyFont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164" fontId="6" fillId="0" borderId="0" xfId="0" applyNumberFormat="1" applyFont="1" applyAlignment="1">
      <alignment horizontal="center" wrapText="1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164" fontId="0" fillId="0" borderId="1" xfId="0" applyNumberFormat="1" applyBorder="1" applyAlignment="1">
      <alignment horizontal="center" wrapText="1"/>
    </xf>
    <xf numFmtId="43" fontId="5" fillId="0" borderId="1" xfId="1" applyFont="1" applyBorder="1" applyAlignment="1">
      <alignment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165" fontId="0" fillId="0" borderId="3" xfId="1" applyNumberFormat="1" applyFont="1" applyBorder="1" applyAlignment="1">
      <alignment horizontal="right" vertical="center" wrapText="1"/>
    </xf>
    <xf numFmtId="165" fontId="2" fillId="0" borderId="4" xfId="1" applyNumberFormat="1" applyFont="1" applyBorder="1" applyAlignment="1">
      <alignment horizontal="right" vertical="center" wrapText="1"/>
    </xf>
    <xf numFmtId="165" fontId="2" fillId="0" borderId="5" xfId="1" applyNumberFormat="1" applyFont="1" applyBorder="1" applyAlignment="1">
      <alignment horizontal="right" vertical="center" wrapText="1"/>
    </xf>
    <xf numFmtId="165" fontId="2" fillId="0" borderId="6" xfId="1" applyNumberFormat="1" applyFont="1" applyBorder="1" applyAlignment="1">
      <alignment horizontal="right" vertical="center" wrapText="1"/>
    </xf>
    <xf numFmtId="0" fontId="0" fillId="0" borderId="7" xfId="0" applyBorder="1"/>
    <xf numFmtId="165" fontId="0" fillId="0" borderId="8" xfId="1" applyNumberFormat="1" applyFont="1" applyBorder="1" applyAlignment="1">
      <alignment horizontal="right" vertical="center" wrapText="1"/>
    </xf>
    <xf numFmtId="165" fontId="0" fillId="0" borderId="9" xfId="1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1A19F771-EAD2-4851-8D29-0CE6B7A9C6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Revenue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4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v>2022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'Charts data'!$A$1:$D$1</c:f>
              <c:strCache>
                <c:ptCount val="4"/>
                <c:pt idx="0">
                  <c:v>Year</c:v>
                </c:pt>
                <c:pt idx="1">
                  <c:v>Alpha Foods Holdings Ltd</c:v>
                </c:pt>
                <c:pt idx="2">
                  <c:v>Beta Retail Group Ltd</c:v>
                </c:pt>
                <c:pt idx="3">
                  <c:v>Gamma Consumer Stores Ltd</c:v>
                </c:pt>
              </c:strCache>
            </c:strRef>
          </c:cat>
          <c:val>
            <c:numRef>
              <c:f>'Charts data'!$A$2:$D$2</c:f>
              <c:numCache>
                <c:formatCode>General</c:formatCode>
                <c:ptCount val="4"/>
                <c:pt idx="0">
                  <c:v>2022</c:v>
                </c:pt>
                <c:pt idx="1">
                  <c:v>197000</c:v>
                </c:pt>
                <c:pt idx="2">
                  <c:v>184000</c:v>
                </c:pt>
                <c:pt idx="3">
                  <c:v>149000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5-488E-9636-C59AFD30322E}"/>
            </c:ext>
          </c:extLst>
        </c:ser>
        <c:ser>
          <c:idx val="1"/>
          <c:order val="1"/>
          <c:tx>
            <c:v>2023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'Charts data'!$A$1:$D$1</c:f>
              <c:strCache>
                <c:ptCount val="4"/>
                <c:pt idx="0">
                  <c:v>Year</c:v>
                </c:pt>
                <c:pt idx="1">
                  <c:v>Alpha Foods Holdings Ltd</c:v>
                </c:pt>
                <c:pt idx="2">
                  <c:v>Beta Retail Group Ltd</c:v>
                </c:pt>
                <c:pt idx="3">
                  <c:v>Gamma Consumer Stores Ltd</c:v>
                </c:pt>
              </c:strCache>
            </c:strRef>
          </c:cat>
          <c:val>
            <c:numRef>
              <c:f>'Charts data'!$A$3:$D$3</c:f>
              <c:numCache>
                <c:formatCode>General</c:formatCode>
                <c:ptCount val="4"/>
                <c:pt idx="0">
                  <c:v>2023</c:v>
                </c:pt>
                <c:pt idx="1">
                  <c:v>214730.00000000003</c:v>
                </c:pt>
                <c:pt idx="2">
                  <c:v>197984</c:v>
                </c:pt>
                <c:pt idx="3">
                  <c:v>161069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5-488E-9636-C59AFD30322E}"/>
            </c:ext>
          </c:extLst>
        </c:ser>
        <c:ser>
          <c:idx val="2"/>
          <c:order val="2"/>
          <c:tx>
            <c:v>2024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'Charts data'!$A$1:$D$1</c:f>
              <c:strCache>
                <c:ptCount val="4"/>
                <c:pt idx="0">
                  <c:v>Year</c:v>
                </c:pt>
                <c:pt idx="1">
                  <c:v>Alpha Foods Holdings Ltd</c:v>
                </c:pt>
                <c:pt idx="2">
                  <c:v>Beta Retail Group Ltd</c:v>
                </c:pt>
                <c:pt idx="3">
                  <c:v>Gamma Consumer Stores Ltd</c:v>
                </c:pt>
              </c:strCache>
            </c:strRef>
          </c:cat>
          <c:val>
            <c:numRef>
              <c:f>'Charts data'!$A$4:$D$4</c:f>
              <c:numCache>
                <c:formatCode>General</c:formatCode>
                <c:ptCount val="4"/>
                <c:pt idx="0">
                  <c:v>2024</c:v>
                </c:pt>
                <c:pt idx="1">
                  <c:v>238650.00000000003</c:v>
                </c:pt>
                <c:pt idx="2" formatCode="_-* #\ ##0_-;\-* #\ ##0_-;_-* &quot;-&quot;??_-;_-@_-">
                  <c:v>212040.864</c:v>
                </c:pt>
                <c:pt idx="3" formatCode="_-* #\ ##0_-;\-* #\ ##0_-;_-* &quot;-&quot;??_-;_-@_-">
                  <c:v>173149.17499999999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35-488E-9636-C59AFD30322E}"/>
            </c:ext>
          </c:extLst>
        </c:ser>
        <c:ser>
          <c:idx val="3"/>
          <c:order val="3"/>
          <c:tx>
            <c:v>2025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'Charts data'!$A$1:$D$1</c:f>
              <c:strCache>
                <c:ptCount val="4"/>
                <c:pt idx="0">
                  <c:v>Year</c:v>
                </c:pt>
                <c:pt idx="1">
                  <c:v>Alpha Foods Holdings Ltd</c:v>
                </c:pt>
                <c:pt idx="2">
                  <c:v>Beta Retail Group Ltd</c:v>
                </c:pt>
                <c:pt idx="3">
                  <c:v>Gamma Consumer Stores Ltd</c:v>
                </c:pt>
              </c:strCache>
            </c:strRef>
          </c:cat>
          <c:val>
            <c:numRef>
              <c:f>'Charts data'!$A$5:$D$5</c:f>
              <c:numCache>
                <c:formatCode>General</c:formatCode>
                <c:ptCount val="4"/>
                <c:pt idx="0">
                  <c:v>2025</c:v>
                </c:pt>
                <c:pt idx="1">
                  <c:v>254660.00000000003</c:v>
                </c:pt>
                <c:pt idx="2" formatCode="_-* #\ ##0_-;\-* #\ ##0_-;_-* &quot;-&quot;??_-;_-@_-">
                  <c:v>224975.35670399998</c:v>
                </c:pt>
                <c:pt idx="3" formatCode="_-* #\ ##0_-;\-* #\ ##0_-;_-* &quot;-&quot;??_-;_-@_-">
                  <c:v>185096.46807499998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35-488E-9636-C59AFD303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94799"/>
        <c:axId val="196395279"/>
        <c:axId val="209155471"/>
      </c:line3DChart>
      <c:catAx>
        <c:axId val="196394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5279"/>
        <c:crosses val="autoZero"/>
        <c:auto val="1"/>
        <c:lblAlgn val="ctr"/>
        <c:lblOffset val="100"/>
        <c:noMultiLvlLbl val="0"/>
      </c:catAx>
      <c:valAx>
        <c:axId val="19639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4799"/>
        <c:crosses val="autoZero"/>
        <c:crossBetween val="between"/>
      </c:valAx>
      <c:serAx>
        <c:axId val="2091554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527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ZA"/>
              <a:t>Company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data'!$B$1:$D$1</c:f>
              <c:strCache>
                <c:ptCount val="3"/>
                <c:pt idx="0">
                  <c:v>Alpha Foods Holdings Ltd</c:v>
                </c:pt>
                <c:pt idx="1">
                  <c:v>Beta Retail Group Ltd</c:v>
                </c:pt>
                <c:pt idx="2">
                  <c:v>Gamma Consumer Stores Ltd</c:v>
                </c:pt>
              </c:strCache>
            </c:strRef>
          </c:cat>
          <c:val>
            <c:numRef>
              <c:f>'Charts data'!$B$2:$D$2</c:f>
              <c:numCache>
                <c:formatCode>General</c:formatCode>
                <c:ptCount val="3"/>
                <c:pt idx="0">
                  <c:v>197000</c:v>
                </c:pt>
                <c:pt idx="1">
                  <c:v>184000</c:v>
                </c:pt>
                <c:pt idx="2">
                  <c:v>149000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0-42D2-AE05-3601F9A92FE0}"/>
            </c:ext>
          </c:extLst>
        </c:ser>
        <c:ser>
          <c:idx val="1"/>
          <c:order val="1"/>
          <c:tx>
            <c:v>2023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data'!$B$1:$D$1</c:f>
              <c:strCache>
                <c:ptCount val="3"/>
                <c:pt idx="0">
                  <c:v>Alpha Foods Holdings Ltd</c:v>
                </c:pt>
                <c:pt idx="1">
                  <c:v>Beta Retail Group Ltd</c:v>
                </c:pt>
                <c:pt idx="2">
                  <c:v>Gamma Consumer Stores Ltd</c:v>
                </c:pt>
              </c:strCache>
            </c:strRef>
          </c:cat>
          <c:val>
            <c:numRef>
              <c:f>'Charts data'!$B$3:$D$3</c:f>
              <c:numCache>
                <c:formatCode>General</c:formatCode>
                <c:ptCount val="3"/>
                <c:pt idx="0">
                  <c:v>214730.00000000003</c:v>
                </c:pt>
                <c:pt idx="1">
                  <c:v>197984</c:v>
                </c:pt>
                <c:pt idx="2">
                  <c:v>161069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0-42D2-AE05-3601F9A92FE0}"/>
            </c:ext>
          </c:extLst>
        </c:ser>
        <c:ser>
          <c:idx val="2"/>
          <c:order val="2"/>
          <c:tx>
            <c:v>2024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'Charts data'!$B$1:$D$1</c:f>
              <c:strCache>
                <c:ptCount val="3"/>
                <c:pt idx="0">
                  <c:v>Alpha Foods Holdings Ltd</c:v>
                </c:pt>
                <c:pt idx="1">
                  <c:v>Beta Retail Group Ltd</c:v>
                </c:pt>
                <c:pt idx="2">
                  <c:v>Gamma Consumer Stores Ltd</c:v>
                </c:pt>
              </c:strCache>
            </c:strRef>
          </c:cat>
          <c:val>
            <c:numRef>
              <c:f>'Charts data'!$B$4:$D$4</c:f>
              <c:numCache>
                <c:formatCode>_-* #\ ##0_-;\-* #\ ##0_-;_-* "-"??_-;_-@_-</c:formatCode>
                <c:ptCount val="3"/>
                <c:pt idx="0" formatCode="General">
                  <c:v>238650.00000000003</c:v>
                </c:pt>
                <c:pt idx="1">
                  <c:v>212040.864</c:v>
                </c:pt>
                <c:pt idx="2">
                  <c:v>173149.17499999999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40-42D2-AE05-3601F9A92FE0}"/>
            </c:ext>
          </c:extLst>
        </c:ser>
        <c:ser>
          <c:idx val="3"/>
          <c:order val="3"/>
          <c:tx>
            <c:v>2025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'Charts data'!$B$1:$D$1</c:f>
              <c:strCache>
                <c:ptCount val="3"/>
                <c:pt idx="0">
                  <c:v>Alpha Foods Holdings Ltd</c:v>
                </c:pt>
                <c:pt idx="1">
                  <c:v>Beta Retail Group Ltd</c:v>
                </c:pt>
                <c:pt idx="2">
                  <c:v>Gamma Consumer Stores Ltd</c:v>
                </c:pt>
              </c:strCache>
            </c:strRef>
          </c:cat>
          <c:val>
            <c:numRef>
              <c:f>'Charts data'!$B$5:$D$5</c:f>
              <c:numCache>
                <c:formatCode>_-* #\ ##0_-;\-* #\ ##0_-;_-* "-"??_-;_-@_-</c:formatCode>
                <c:ptCount val="3"/>
                <c:pt idx="0" formatCode="General">
                  <c:v>254660.00000000003</c:v>
                </c:pt>
                <c:pt idx="1">
                  <c:v>224975.35670399998</c:v>
                </c:pt>
                <c:pt idx="2">
                  <c:v>185096.46807499998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40-42D2-AE05-3601F9A92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95576799"/>
        <c:axId val="195575839"/>
      </c:barChart>
      <c:catAx>
        <c:axId val="19557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75839"/>
        <c:crosses val="autoZero"/>
        <c:auto val="1"/>
        <c:lblAlgn val="ctr"/>
        <c:lblOffset val="100"/>
        <c:noMultiLvlLbl val="0"/>
      </c:catAx>
      <c:valAx>
        <c:axId val="1955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767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Revenue Growth Trajectory (2022–2025)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'Charts data'!$B$1</c:f>
              <c:strCache>
                <c:ptCount val="1"/>
                <c:pt idx="0">
                  <c:v>Alpha Foods Holdings Ltd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'Charts data'!$A$2:$A$5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'Charts data'!$B$2:$B$5</c:f>
              <c:numCache>
                <c:formatCode>General</c:formatCode>
                <c:ptCount val="4"/>
                <c:pt idx="0">
                  <c:v>197000</c:v>
                </c:pt>
                <c:pt idx="1">
                  <c:v>214730.00000000003</c:v>
                </c:pt>
                <c:pt idx="2">
                  <c:v>238650.00000000003</c:v>
                </c:pt>
                <c:pt idx="3">
                  <c:v>254660.00000000003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5-4EA6-8863-1976F2FC9C00}"/>
            </c:ext>
          </c:extLst>
        </c:ser>
        <c:ser>
          <c:idx val="1"/>
          <c:order val="1"/>
          <c:tx>
            <c:strRef>
              <c:f>'Charts data'!$C$1</c:f>
              <c:strCache>
                <c:ptCount val="1"/>
                <c:pt idx="0">
                  <c:v>Beta Retail Group Ltd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'Charts data'!$A$2:$A$5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'Charts data'!$C$2:$C$5</c:f>
              <c:numCache>
                <c:formatCode>General</c:formatCode>
                <c:ptCount val="4"/>
                <c:pt idx="0">
                  <c:v>184000</c:v>
                </c:pt>
                <c:pt idx="1">
                  <c:v>197984</c:v>
                </c:pt>
                <c:pt idx="2" formatCode="_-* #\ ##0_-;\-* #\ ##0_-;_-* &quot;-&quot;??_-;_-@_-">
                  <c:v>212040.864</c:v>
                </c:pt>
                <c:pt idx="3" formatCode="_-* #\ ##0_-;\-* #\ ##0_-;_-* &quot;-&quot;??_-;_-@_-">
                  <c:v>224975.35670399998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5-4EA6-8863-1976F2FC9C00}"/>
            </c:ext>
          </c:extLst>
        </c:ser>
        <c:ser>
          <c:idx val="2"/>
          <c:order val="2"/>
          <c:tx>
            <c:strRef>
              <c:f>'Charts data'!$D$1</c:f>
              <c:strCache>
                <c:ptCount val="1"/>
                <c:pt idx="0">
                  <c:v>Gamma Consumer Stores Ltd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'Charts data'!$A$2:$A$5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'Charts data'!$D$2:$D$5</c:f>
              <c:numCache>
                <c:formatCode>General</c:formatCode>
                <c:ptCount val="4"/>
                <c:pt idx="0">
                  <c:v>149000</c:v>
                </c:pt>
                <c:pt idx="1">
                  <c:v>161069</c:v>
                </c:pt>
                <c:pt idx="2" formatCode="_-* #\ ##0_-;\-* #\ ##0_-;_-* &quot;-&quot;??_-;_-@_-">
                  <c:v>173149.17499999999</c:v>
                </c:pt>
                <c:pt idx="3" formatCode="_-* #\ ##0_-;\-* #\ ##0_-;_-* &quot;-&quot;??_-;_-@_-">
                  <c:v>185096.46807499998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5-4EA6-8863-1976F2FC9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25583"/>
        <c:axId val="188227983"/>
      </c:areaChart>
      <c:catAx>
        <c:axId val="188225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7983"/>
        <c:crosses val="autoZero"/>
        <c:auto val="1"/>
        <c:lblAlgn val="ctr"/>
        <c:lblOffset val="100"/>
        <c:noMultiLvlLbl val="0"/>
      </c:catAx>
      <c:valAx>
        <c:axId val="18822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5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0</xdr:rowOff>
    </xdr:from>
    <xdr:to>
      <xdr:col>14</xdr:col>
      <xdr:colOff>542925</xdr:colOff>
      <xdr:row>12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275E89-EE11-BD89-58D4-AF89EDD0C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195262</xdr:colOff>
      <xdr:row>12</xdr:row>
      <xdr:rowOff>147637</xdr:rowOff>
    </xdr:from>
    <xdr:to>
      <xdr:col>14</xdr:col>
      <xdr:colOff>500062</xdr:colOff>
      <xdr:row>27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73C22E-E06B-89B7-4E4E-62628C170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80962</xdr:rowOff>
    </xdr:from>
    <xdr:to>
      <xdr:col>6</xdr:col>
      <xdr:colOff>571500</xdr:colOff>
      <xdr:row>26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803C97-37DF-5169-B62B-F5DF408B6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9A8857-EF76-470F-AF67-3E34DE190A00}" name="Table1" displayName="Table1" ref="A1:R13" totalsRowShown="0" headerRowDxfId="22" dataDxfId="20" headerRowBorderDxfId="21" tableBorderDxfId="19" totalsRowBorderDxfId="18" headerRowCellStyle="Comma" dataCellStyle="Comma">
  <autoFilter ref="A1:R13" xr:uid="{0A9A8857-EF76-470F-AF67-3E34DE190A00}"/>
  <tableColumns count="18">
    <tableColumn id="1" xr3:uid="{58A25448-8D99-4B85-B545-CD3139309542}" name="Company" dataDxfId="17"/>
    <tableColumn id="2" xr3:uid="{8D9A0A6D-1B2C-4A33-AE24-14BB2FA8B54E}" name="Year" dataDxfId="16" dataCellStyle="Comma"/>
    <tableColumn id="3" xr3:uid="{8E3658DE-E8DF-4751-B02F-2DA13C5C42C7}" name="Revenue" dataDxfId="15" dataCellStyle="Comma"/>
    <tableColumn id="4" xr3:uid="{35B4EC32-01CB-4D9E-BC77-7DD6B57834FD}" name="Cost_of_Sales" dataDxfId="14" dataCellStyle="Comma"/>
    <tableColumn id="5" xr3:uid="{33E5A3F0-7931-4078-B708-2AA540756690}" name="Gross_Profit" dataDxfId="13" dataCellStyle="Comma"/>
    <tableColumn id="6" xr3:uid="{43019410-2A07-4A76-B051-3D862569DC48}" name="Operating_Expenses" dataDxfId="12" dataCellStyle="Comma"/>
    <tableColumn id="7" xr3:uid="{ADE934DB-3B70-4A66-B77D-942D013325DE}" name="Operating_Profit" dataDxfId="11" dataCellStyle="Comma"/>
    <tableColumn id="8" xr3:uid="{8263DE42-2054-4911-8CE5-7933D4EF4973}" name="Finance_Costs" dataDxfId="10" dataCellStyle="Comma"/>
    <tableColumn id="9" xr3:uid="{532C3BF9-63BD-4A92-8D2F-EC75B72EDE49}" name="Net_Profit" dataDxfId="9" dataCellStyle="Comma"/>
    <tableColumn id="10" xr3:uid="{615BAC4F-C10E-4959-A127-9114EBAAEFC0}" name="Cash" dataDxfId="8" dataCellStyle="Comma"/>
    <tableColumn id="11" xr3:uid="{A060D46F-300F-4FF4-9C4A-0B64DAEF731B}" name="Inventory" dataDxfId="7" dataCellStyle="Comma"/>
    <tableColumn id="12" xr3:uid="{07C2FFCC-7600-42FC-9A9D-3E0003E131E6}" name="Current_Assets" dataDxfId="6" dataCellStyle="Comma"/>
    <tableColumn id="13" xr3:uid="{FA2E4B5E-0391-4A4E-A1F6-41FAC12356FF}" name="Current_Liabilities" dataDxfId="5" dataCellStyle="Comma"/>
    <tableColumn id="14" xr3:uid="{1AE545E9-9669-48D3-ADEB-05B1E2F5E124}" name="Total_Assets" dataDxfId="4" dataCellStyle="Comma"/>
    <tableColumn id="15" xr3:uid="{5342A8F6-1E79-4697-A029-6D90C4B67189}" name="Total_Liabilities" dataDxfId="3" dataCellStyle="Comma"/>
    <tableColumn id="16" xr3:uid="{851B3A3A-D87B-4AF4-8A63-CE2AE3E80F0D}" name="Shareholders_Equity" dataDxfId="2" dataCellStyle="Comma"/>
    <tableColumn id="17" xr3:uid="{DA85E66B-C862-4B90-A286-42ECA4890599}" name="Short_Term_Debt" dataDxfId="1" dataCellStyle="Comma"/>
    <tableColumn id="18" xr3:uid="{16036728-58BD-435A-A756-62447465782C}" name="Long_Term_Deb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opLeftCell="I1" workbookViewId="0">
      <selection sqref="A1:R13"/>
    </sheetView>
  </sheetViews>
  <sheetFormatPr defaultRowHeight="15"/>
  <cols>
    <col min="1" max="1" width="12.28515625" style="1" customWidth="1"/>
    <col min="2" max="2" width="15.85546875" style="1" bestFit="1" customWidth="1"/>
    <col min="3" max="3" width="14.42578125" style="1" bestFit="1" customWidth="1"/>
    <col min="4" max="4" width="16.28515625" style="1" customWidth="1"/>
    <col min="5" max="5" width="15" style="1" customWidth="1"/>
    <col min="6" max="6" width="22.140625" style="1" customWidth="1"/>
    <col min="7" max="7" width="18.85546875" style="1" customWidth="1"/>
    <col min="8" max="8" width="16.5703125" style="1" customWidth="1"/>
    <col min="9" max="9" width="13.28515625" style="1" customWidth="1"/>
    <col min="10" max="10" width="10.5703125" style="1" customWidth="1"/>
    <col min="11" max="11" width="12.5703125" style="1" customWidth="1"/>
    <col min="12" max="12" width="17.42578125" style="1" customWidth="1"/>
    <col min="13" max="13" width="20.28515625" style="1" customWidth="1"/>
    <col min="14" max="14" width="15.140625" style="1" customWidth="1"/>
    <col min="15" max="15" width="18" style="1" customWidth="1"/>
    <col min="16" max="16" width="22.28515625" style="1" customWidth="1"/>
    <col min="17" max="17" width="19.5703125" style="1" customWidth="1"/>
    <col min="18" max="18" width="19" style="1" customWidth="1"/>
    <col min="19" max="19" width="10.5703125" style="1" customWidth="1"/>
  </cols>
  <sheetData>
    <row r="1" spans="1:26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4" t="s">
        <v>17</v>
      </c>
    </row>
    <row r="2" spans="1:26">
      <c r="A2" s="30" t="s">
        <v>38</v>
      </c>
      <c r="B2" s="8">
        <v>2022</v>
      </c>
      <c r="C2" s="8">
        <v>171890000</v>
      </c>
      <c r="D2" s="8">
        <v>130632000</v>
      </c>
      <c r="E2" s="8">
        <v>41258000</v>
      </c>
      <c r="F2" s="8">
        <v>20000000</v>
      </c>
      <c r="G2" s="8">
        <v>21258000</v>
      </c>
      <c r="H2" s="8">
        <v>2000000</v>
      </c>
      <c r="I2" s="8">
        <v>19258000</v>
      </c>
      <c r="J2" s="8">
        <v>12000000</v>
      </c>
      <c r="K2" s="8">
        <v>4000000</v>
      </c>
      <c r="L2" s="8">
        <v>25000000</v>
      </c>
      <c r="M2" s="8">
        <v>14500000</v>
      </c>
      <c r="N2" s="8">
        <v>55000000</v>
      </c>
      <c r="O2" s="8">
        <v>22000000</v>
      </c>
      <c r="P2" s="8">
        <v>33000000</v>
      </c>
      <c r="Q2" s="8">
        <v>5000000</v>
      </c>
      <c r="R2" s="31">
        <v>17000000</v>
      </c>
      <c r="Z2">
        <f>IF(ISNUMBER(B2), B2, 0)</f>
        <v>2022</v>
      </c>
    </row>
    <row r="3" spans="1:26">
      <c r="A3" s="30" t="s">
        <v>38</v>
      </c>
      <c r="B3" s="8">
        <v>2023</v>
      </c>
      <c r="C3" s="8">
        <v>180500000</v>
      </c>
      <c r="D3" s="8">
        <v>137000000</v>
      </c>
      <c r="E3" s="8">
        <v>43500000</v>
      </c>
      <c r="F3" s="8">
        <v>21000000</v>
      </c>
      <c r="G3" s="8">
        <v>22500000</v>
      </c>
      <c r="H3" s="8">
        <v>2100000</v>
      </c>
      <c r="I3" s="8">
        <v>20400000</v>
      </c>
      <c r="J3" s="8">
        <v>13000000</v>
      </c>
      <c r="K3" s="8">
        <v>4500000</v>
      </c>
      <c r="L3" s="8">
        <v>27000000</v>
      </c>
      <c r="M3" s="8">
        <v>15000000</v>
      </c>
      <c r="N3" s="8">
        <v>58000000</v>
      </c>
      <c r="O3" s="8">
        <v>23000000</v>
      </c>
      <c r="P3" s="8">
        <v>35000000</v>
      </c>
      <c r="Q3" s="8">
        <v>5200000</v>
      </c>
      <c r="R3" s="31">
        <v>17800000</v>
      </c>
      <c r="Z3">
        <f t="shared" ref="Z3:Z13" si="0">IF(ISNUMBER(B3), B3, 0)</f>
        <v>2023</v>
      </c>
    </row>
    <row r="4" spans="1:26">
      <c r="A4" s="30" t="s">
        <v>38</v>
      </c>
      <c r="B4" s="8">
        <v>2024</v>
      </c>
      <c r="C4" s="8">
        <v>190000000</v>
      </c>
      <c r="D4" s="8">
        <v>145000000</v>
      </c>
      <c r="E4" s="8">
        <v>45000000</v>
      </c>
      <c r="F4" s="8">
        <v>22000000</v>
      </c>
      <c r="G4" s="8">
        <v>23000000</v>
      </c>
      <c r="H4" s="8">
        <v>2200000</v>
      </c>
      <c r="I4" s="8">
        <v>20800000</v>
      </c>
      <c r="J4" s="8">
        <v>13500000</v>
      </c>
      <c r="K4" s="8">
        <v>5000000</v>
      </c>
      <c r="L4" s="8">
        <v>28000000</v>
      </c>
      <c r="M4" s="8">
        <v>15500000</v>
      </c>
      <c r="N4" s="8">
        <v>60000000</v>
      </c>
      <c r="O4" s="8">
        <v>24000000</v>
      </c>
      <c r="P4" s="8">
        <v>36000000</v>
      </c>
      <c r="Q4" s="8">
        <v>5400000</v>
      </c>
      <c r="R4" s="31">
        <v>18600000</v>
      </c>
      <c r="Z4">
        <f t="shared" si="0"/>
        <v>2024</v>
      </c>
    </row>
    <row r="5" spans="1:26">
      <c r="A5" s="30" t="s">
        <v>38</v>
      </c>
      <c r="B5" s="8">
        <v>2025</v>
      </c>
      <c r="C5" s="8">
        <v>200000000</v>
      </c>
      <c r="D5" s="8">
        <v>152000000</v>
      </c>
      <c r="E5" s="8">
        <v>48000000</v>
      </c>
      <c r="F5" s="8">
        <v>23000000</v>
      </c>
      <c r="G5" s="8">
        <v>25000000</v>
      </c>
      <c r="H5" s="8">
        <v>2300000</v>
      </c>
      <c r="I5" s="8">
        <v>22700000</v>
      </c>
      <c r="J5" s="8">
        <v>14500000</v>
      </c>
      <c r="K5" s="8">
        <v>5500000</v>
      </c>
      <c r="L5" s="8">
        <v>30000000</v>
      </c>
      <c r="M5" s="8">
        <v>16000000</v>
      </c>
      <c r="N5" s="8">
        <v>63000000</v>
      </c>
      <c r="O5" s="8">
        <v>25000000</v>
      </c>
      <c r="P5" s="8">
        <v>38000000</v>
      </c>
      <c r="Q5" s="8">
        <v>5600000</v>
      </c>
      <c r="R5" s="31">
        <v>19400000</v>
      </c>
      <c r="Z5">
        <f t="shared" si="0"/>
        <v>2025</v>
      </c>
    </row>
    <row r="6" spans="1:26">
      <c r="A6" s="30" t="s">
        <v>39</v>
      </c>
      <c r="B6" s="8">
        <v>2022</v>
      </c>
      <c r="C6" s="8">
        <v>112300000</v>
      </c>
      <c r="D6" s="8">
        <v>92000000</v>
      </c>
      <c r="E6" s="8">
        <v>20300000</v>
      </c>
      <c r="F6" s="8">
        <v>18000000</v>
      </c>
      <c r="G6" s="8">
        <v>2300000</v>
      </c>
      <c r="H6" s="8">
        <v>2500000</v>
      </c>
      <c r="I6" s="8">
        <v>-200000</v>
      </c>
      <c r="J6" s="8">
        <v>5000000</v>
      </c>
      <c r="K6" s="8">
        <v>2000000</v>
      </c>
      <c r="L6" s="8">
        <v>10000000</v>
      </c>
      <c r="M6" s="8">
        <v>8300000</v>
      </c>
      <c r="N6" s="8">
        <v>30000000</v>
      </c>
      <c r="O6" s="8">
        <v>16000000</v>
      </c>
      <c r="P6" s="8">
        <v>14000000</v>
      </c>
      <c r="Q6" s="8">
        <v>6000000</v>
      </c>
      <c r="R6" s="31">
        <v>10000000</v>
      </c>
      <c r="Z6">
        <f t="shared" si="0"/>
        <v>2022</v>
      </c>
    </row>
    <row r="7" spans="1:26">
      <c r="A7" s="30" t="s">
        <v>39</v>
      </c>
      <c r="B7" s="8">
        <v>2023</v>
      </c>
      <c r="C7" s="8">
        <v>116000000</v>
      </c>
      <c r="D7" s="8">
        <v>95000000</v>
      </c>
      <c r="E7" s="8">
        <v>21000000</v>
      </c>
      <c r="F7" s="8">
        <v>18500000</v>
      </c>
      <c r="G7" s="8">
        <v>2500000</v>
      </c>
      <c r="H7" s="8">
        <v>2600000</v>
      </c>
      <c r="I7" s="8">
        <v>-100000</v>
      </c>
      <c r="J7" s="8">
        <v>5200000</v>
      </c>
      <c r="K7" s="8">
        <v>2200000</v>
      </c>
      <c r="L7" s="8">
        <v>10500000</v>
      </c>
      <c r="M7" s="8">
        <v>8500000</v>
      </c>
      <c r="N7" s="8">
        <v>31000000</v>
      </c>
      <c r="O7" s="8">
        <v>16500000</v>
      </c>
      <c r="P7" s="8">
        <v>14500000</v>
      </c>
      <c r="Q7" s="8">
        <v>6200000</v>
      </c>
      <c r="R7" s="31">
        <v>10200000</v>
      </c>
      <c r="Z7">
        <f t="shared" si="0"/>
        <v>2023</v>
      </c>
    </row>
    <row r="8" spans="1:26">
      <c r="A8" s="30" t="s">
        <v>39</v>
      </c>
      <c r="B8" s="8">
        <v>2024</v>
      </c>
      <c r="C8" s="8">
        <v>120000000</v>
      </c>
      <c r="D8" s="8">
        <v>98000000</v>
      </c>
      <c r="E8" s="8">
        <v>22000000</v>
      </c>
      <c r="F8" s="8">
        <v>19000000</v>
      </c>
      <c r="G8" s="8">
        <v>3000000</v>
      </c>
      <c r="H8" s="8">
        <v>2700000</v>
      </c>
      <c r="I8" s="8">
        <v>300000</v>
      </c>
      <c r="J8" s="8">
        <v>5400000</v>
      </c>
      <c r="K8" s="8">
        <v>2400000</v>
      </c>
      <c r="L8" s="8">
        <v>11000000</v>
      </c>
      <c r="M8" s="8">
        <v>8800000</v>
      </c>
      <c r="N8" s="8">
        <v>32000000</v>
      </c>
      <c r="O8" s="8">
        <v>17000000</v>
      </c>
      <c r="P8" s="8">
        <v>15000000</v>
      </c>
      <c r="Q8" s="8">
        <v>6400000</v>
      </c>
      <c r="R8" s="31">
        <v>10400000</v>
      </c>
      <c r="Z8">
        <f t="shared" si="0"/>
        <v>2024</v>
      </c>
    </row>
    <row r="9" spans="1:26">
      <c r="A9" s="30" t="s">
        <v>39</v>
      </c>
      <c r="B9" s="8">
        <v>2025</v>
      </c>
      <c r="C9" s="8">
        <v>125000000</v>
      </c>
      <c r="D9" s="8">
        <v>102000000</v>
      </c>
      <c r="E9" s="8">
        <v>23000000</v>
      </c>
      <c r="F9" s="8">
        <v>19500000</v>
      </c>
      <c r="G9" s="8">
        <v>3500000</v>
      </c>
      <c r="H9" s="8">
        <v>2800000</v>
      </c>
      <c r="I9" s="8">
        <v>700000</v>
      </c>
      <c r="J9" s="8">
        <v>5600000</v>
      </c>
      <c r="K9" s="8">
        <v>2600000</v>
      </c>
      <c r="L9" s="8">
        <v>11500000</v>
      </c>
      <c r="M9" s="8">
        <v>9000000</v>
      </c>
      <c r="N9" s="8">
        <v>33000000</v>
      </c>
      <c r="O9" s="8">
        <v>17500000</v>
      </c>
      <c r="P9" s="8">
        <v>15500000</v>
      </c>
      <c r="Q9" s="8">
        <v>6600000</v>
      </c>
      <c r="R9" s="31">
        <v>10600000</v>
      </c>
      <c r="Z9">
        <f t="shared" si="0"/>
        <v>2025</v>
      </c>
    </row>
    <row r="10" spans="1:26">
      <c r="A10" s="30" t="s">
        <v>40</v>
      </c>
      <c r="B10" s="8">
        <v>2022</v>
      </c>
      <c r="C10" s="8">
        <v>132500000</v>
      </c>
      <c r="D10" s="8">
        <v>103500000</v>
      </c>
      <c r="E10" s="8">
        <v>29000000</v>
      </c>
      <c r="F10" s="8">
        <v>17000000</v>
      </c>
      <c r="G10" s="8">
        <v>12000000</v>
      </c>
      <c r="H10" s="8">
        <v>1500000</v>
      </c>
      <c r="I10" s="8">
        <v>10500000</v>
      </c>
      <c r="J10" s="8">
        <v>7000000</v>
      </c>
      <c r="K10" s="8">
        <v>3000000</v>
      </c>
      <c r="L10" s="8">
        <v>12000000</v>
      </c>
      <c r="M10" s="8">
        <v>8000000</v>
      </c>
      <c r="N10" s="8">
        <v>40000000</v>
      </c>
      <c r="O10" s="8">
        <v>18000000</v>
      </c>
      <c r="P10" s="8">
        <v>22000000</v>
      </c>
      <c r="Q10" s="8">
        <v>4000000</v>
      </c>
      <c r="R10" s="31">
        <v>14000000</v>
      </c>
      <c r="Z10">
        <f t="shared" si="0"/>
        <v>2022</v>
      </c>
    </row>
    <row r="11" spans="1:26">
      <c r="A11" s="30" t="s">
        <v>40</v>
      </c>
      <c r="B11" s="8">
        <v>2023</v>
      </c>
      <c r="C11" s="8">
        <v>138000000</v>
      </c>
      <c r="D11" s="8">
        <v>108000000</v>
      </c>
      <c r="E11" s="8">
        <v>30000000</v>
      </c>
      <c r="F11" s="8">
        <v>17500000</v>
      </c>
      <c r="G11" s="8">
        <v>12500000</v>
      </c>
      <c r="H11" s="8">
        <v>1600000</v>
      </c>
      <c r="I11" s="8">
        <v>10900000</v>
      </c>
      <c r="J11" s="8">
        <v>7500000</v>
      </c>
      <c r="K11" s="8">
        <v>3200000</v>
      </c>
      <c r="L11" s="8">
        <v>12500000</v>
      </c>
      <c r="M11" s="8">
        <v>8200000</v>
      </c>
      <c r="N11" s="8">
        <v>42000000</v>
      </c>
      <c r="O11" s="8">
        <v>18500000</v>
      </c>
      <c r="P11" s="8">
        <v>23500000</v>
      </c>
      <c r="Q11" s="8">
        <v>4200000</v>
      </c>
      <c r="R11" s="31">
        <v>14300000</v>
      </c>
      <c r="Z11">
        <f t="shared" si="0"/>
        <v>2023</v>
      </c>
    </row>
    <row r="12" spans="1:26">
      <c r="A12" s="30" t="s">
        <v>40</v>
      </c>
      <c r="B12" s="8">
        <v>2024</v>
      </c>
      <c r="C12" s="8">
        <v>144000000</v>
      </c>
      <c r="D12" s="8">
        <v>112500000</v>
      </c>
      <c r="E12" s="8">
        <v>31500000</v>
      </c>
      <c r="F12" s="8">
        <v>18000000</v>
      </c>
      <c r="G12" s="8">
        <v>13500000</v>
      </c>
      <c r="H12" s="8">
        <v>1700000</v>
      </c>
      <c r="I12" s="8">
        <v>11800000</v>
      </c>
      <c r="J12" s="8">
        <v>7800000</v>
      </c>
      <c r="K12" s="8">
        <v>3400000</v>
      </c>
      <c r="L12" s="8">
        <v>13000000</v>
      </c>
      <c r="M12" s="8">
        <v>8500000</v>
      </c>
      <c r="N12" s="8">
        <v>44000000</v>
      </c>
      <c r="O12" s="8">
        <v>19000000</v>
      </c>
      <c r="P12" s="8">
        <v>25000000</v>
      </c>
      <c r="Q12" s="8">
        <v>4400000</v>
      </c>
      <c r="R12" s="31">
        <v>14600000</v>
      </c>
      <c r="Z12">
        <f t="shared" si="0"/>
        <v>2024</v>
      </c>
    </row>
    <row r="13" spans="1:26">
      <c r="A13" s="35" t="s">
        <v>40</v>
      </c>
      <c r="B13" s="36">
        <v>2025</v>
      </c>
      <c r="C13" s="36">
        <v>150000000</v>
      </c>
      <c r="D13" s="36">
        <v>118000000</v>
      </c>
      <c r="E13" s="36">
        <v>32000000</v>
      </c>
      <c r="F13" s="36">
        <v>18500000</v>
      </c>
      <c r="G13" s="36">
        <v>13500000</v>
      </c>
      <c r="H13" s="36">
        <v>1800000</v>
      </c>
      <c r="I13" s="36">
        <v>11700000</v>
      </c>
      <c r="J13" s="36">
        <v>8000000</v>
      </c>
      <c r="K13" s="36">
        <v>3600000</v>
      </c>
      <c r="L13" s="36">
        <v>13500000</v>
      </c>
      <c r="M13" s="36">
        <v>8800000</v>
      </c>
      <c r="N13" s="36">
        <v>46000000</v>
      </c>
      <c r="O13" s="36">
        <v>19500000</v>
      </c>
      <c r="P13" s="36">
        <v>26500000</v>
      </c>
      <c r="Q13" s="36">
        <v>4600000</v>
      </c>
      <c r="R13" s="37">
        <v>14900000</v>
      </c>
      <c r="Z13">
        <f t="shared" si="0"/>
        <v>2025</v>
      </c>
    </row>
    <row r="15" spans="1:26">
      <c r="B15"/>
    </row>
    <row r="16" spans="1:26">
      <c r="A16"/>
      <c r="B16"/>
    </row>
    <row r="17" spans="1:1">
      <c r="A17"/>
    </row>
    <row r="18" spans="1:1">
      <c r="A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4CD8-92EE-4FC3-AEFC-0E256B15C94E}">
  <dimension ref="A1:O15"/>
  <sheetViews>
    <sheetView workbookViewId="0">
      <pane ySplit="1" topLeftCell="A2" activePane="bottomLeft" state="frozen"/>
      <selection pane="bottomLeft" sqref="A1:I13"/>
    </sheetView>
  </sheetViews>
  <sheetFormatPr defaultRowHeight="15"/>
  <cols>
    <col min="1" max="1" width="26.85546875" bestFit="1" customWidth="1"/>
    <col min="2" max="2" width="9.140625" style="2"/>
    <col min="3" max="3" width="11.5703125" style="2" bestFit="1" customWidth="1"/>
    <col min="4" max="13" width="9.140625" style="2"/>
  </cols>
  <sheetData>
    <row r="1" spans="1:15" ht="60">
      <c r="A1" s="13" t="s">
        <v>0</v>
      </c>
      <c r="B1" s="5" t="s">
        <v>22</v>
      </c>
      <c r="C1" s="6" t="s">
        <v>23</v>
      </c>
      <c r="D1" s="6" t="s">
        <v>24</v>
      </c>
      <c r="E1" s="6" t="s">
        <v>25</v>
      </c>
      <c r="F1" s="6" t="s">
        <v>18</v>
      </c>
      <c r="G1" s="6" t="s">
        <v>19</v>
      </c>
      <c r="H1" s="6" t="s">
        <v>26</v>
      </c>
      <c r="I1" s="6" t="s">
        <v>27</v>
      </c>
    </row>
    <row r="2" spans="1:15">
      <c r="A2" s="3" t="s">
        <v>38</v>
      </c>
      <c r="B2" s="28">
        <v>2022</v>
      </c>
      <c r="C2" s="27">
        <f>'Raw data'!E2/'Raw data'!D2</f>
        <v>0.31583379263886335</v>
      </c>
      <c r="D2" s="27">
        <f>'Raw data'!I2/'Raw data'!C2</f>
        <v>0.11203676770027343</v>
      </c>
      <c r="E2" s="27">
        <f>'Raw data'!G2/'Raw data'!C2</f>
        <v>0.12367211588806795</v>
      </c>
      <c r="F2" s="27">
        <f>'Raw data'!L2/'Raw data'!M2</f>
        <v>1.7241379310344827</v>
      </c>
      <c r="G2" s="27">
        <f>'Raw data'!N2/'Raw data'!P2</f>
        <v>1.6666666666666667</v>
      </c>
      <c r="H2" s="27">
        <f>'Raw data'!I2/'Raw data'!P2</f>
        <v>0.58357575757575753</v>
      </c>
      <c r="I2" s="27">
        <f>'Raw data'!D2/'Raw data'!K2</f>
        <v>32.658000000000001</v>
      </c>
      <c r="J2" s="4"/>
      <c r="K2" s="4"/>
      <c r="L2" s="4"/>
      <c r="M2" s="4"/>
      <c r="N2" s="4"/>
      <c r="O2" s="4"/>
    </row>
    <row r="3" spans="1:15">
      <c r="A3" s="3" t="s">
        <v>38</v>
      </c>
      <c r="B3" s="28">
        <v>2023</v>
      </c>
      <c r="C3" s="27">
        <f>'Raw data'!E3/'Raw data'!D3</f>
        <v>0.31751824817518248</v>
      </c>
      <c r="D3" s="27">
        <f>'Raw data'!I3/'Raw data'!C3</f>
        <v>0.11301939058171745</v>
      </c>
      <c r="E3" s="27">
        <f>'Raw data'!G3/'Raw data'!C3</f>
        <v>0.12465373961218837</v>
      </c>
      <c r="F3" s="27">
        <f>'Raw data'!L3/'Raw data'!M3</f>
        <v>1.8</v>
      </c>
      <c r="G3" s="27">
        <f>'Raw data'!N3/'Raw data'!P3</f>
        <v>1.6571428571428573</v>
      </c>
      <c r="H3" s="27">
        <f>'Raw data'!I3/'Raw data'!P3</f>
        <v>0.58285714285714285</v>
      </c>
      <c r="I3" s="27">
        <f>'Raw data'!D3/'Raw data'!K3</f>
        <v>30.444444444444443</v>
      </c>
      <c r="J3" s="4"/>
      <c r="K3" s="4"/>
      <c r="L3" s="4"/>
      <c r="M3" s="4"/>
      <c r="N3" s="4"/>
      <c r="O3" s="4"/>
    </row>
    <row r="4" spans="1:15">
      <c r="A4" s="3" t="s">
        <v>38</v>
      </c>
      <c r="B4" s="28">
        <v>2024</v>
      </c>
      <c r="C4" s="27">
        <f>'Raw data'!E4/'Raw data'!D4</f>
        <v>0.31034482758620691</v>
      </c>
      <c r="D4" s="27">
        <f>'Raw data'!I4/'Raw data'!C4</f>
        <v>0.10947368421052632</v>
      </c>
      <c r="E4" s="27">
        <f>'Raw data'!G4/'Raw data'!C4</f>
        <v>0.12105263157894737</v>
      </c>
      <c r="F4" s="27">
        <f>'Raw data'!L4/'Raw data'!M4</f>
        <v>1.8064516129032258</v>
      </c>
      <c r="G4" s="27">
        <f>'Raw data'!N4/'Raw data'!P4</f>
        <v>1.6666666666666667</v>
      </c>
      <c r="H4" s="27">
        <f>'Raw data'!I4/'Raw data'!P4</f>
        <v>0.57777777777777772</v>
      </c>
      <c r="I4" s="27">
        <f>'Raw data'!D4/'Raw data'!K4</f>
        <v>29</v>
      </c>
      <c r="J4" s="4"/>
      <c r="K4" s="4"/>
      <c r="L4" s="4"/>
      <c r="M4" s="4"/>
      <c r="N4" s="4"/>
      <c r="O4" s="4"/>
    </row>
    <row r="5" spans="1:15">
      <c r="A5" s="3" t="s">
        <v>38</v>
      </c>
      <c r="B5" s="28">
        <v>2025</v>
      </c>
      <c r="C5" s="27">
        <f>'Raw data'!E5/'Raw data'!D5</f>
        <v>0.31578947368421051</v>
      </c>
      <c r="D5" s="27">
        <f>'Raw data'!I5/'Raw data'!C5</f>
        <v>0.1135</v>
      </c>
      <c r="E5" s="27">
        <f>'Raw data'!G5/'Raw data'!C5</f>
        <v>0.125</v>
      </c>
      <c r="F5" s="27">
        <f>'Raw data'!L5/'Raw data'!M5</f>
        <v>1.875</v>
      </c>
      <c r="G5" s="27">
        <f>'Raw data'!N5/'Raw data'!P5</f>
        <v>1.6578947368421053</v>
      </c>
      <c r="H5" s="27">
        <f>'Raw data'!I5/'Raw data'!P5</f>
        <v>0.59736842105263155</v>
      </c>
      <c r="I5" s="27">
        <f>'Raw data'!D5/'Raw data'!K5</f>
        <v>27.636363636363637</v>
      </c>
      <c r="J5" s="4"/>
      <c r="K5" s="4"/>
      <c r="L5" s="4"/>
      <c r="M5" s="4"/>
      <c r="N5" s="4"/>
      <c r="O5" s="4"/>
    </row>
    <row r="6" spans="1:15">
      <c r="A6" s="3" t="s">
        <v>39</v>
      </c>
      <c r="B6" s="28">
        <v>2022</v>
      </c>
      <c r="C6" s="27">
        <f>'Raw data'!E6/'Raw data'!D6</f>
        <v>0.22065217391304348</v>
      </c>
      <c r="D6" s="27">
        <f>'Raw data'!I6/'Raw data'!C6</f>
        <v>-1.7809439002671415E-3</v>
      </c>
      <c r="E6" s="27">
        <f>'Raw data'!G6/'Raw data'!C6</f>
        <v>2.0480854853072127E-2</v>
      </c>
      <c r="F6" s="27">
        <f>'Raw data'!L6/'Raw data'!M6</f>
        <v>1.2048192771084338</v>
      </c>
      <c r="G6" s="27">
        <f>'Raw data'!N6/'Raw data'!P6</f>
        <v>2.1428571428571428</v>
      </c>
      <c r="H6" s="27">
        <f>'Raw data'!I6/'Raw data'!P6</f>
        <v>-1.4285714285714285E-2</v>
      </c>
      <c r="I6" s="27">
        <f>'Raw data'!D6/'Raw data'!K6</f>
        <v>46</v>
      </c>
      <c r="J6" s="4"/>
      <c r="K6" s="4"/>
      <c r="L6" s="4"/>
      <c r="M6" s="4"/>
      <c r="N6" s="4"/>
      <c r="O6" s="4"/>
    </row>
    <row r="7" spans="1:15">
      <c r="A7" s="3" t="s">
        <v>39</v>
      </c>
      <c r="B7" s="28">
        <v>2023</v>
      </c>
      <c r="C7" s="27">
        <f>'Raw data'!E7/'Raw data'!D7</f>
        <v>0.22105263157894736</v>
      </c>
      <c r="D7" s="27">
        <f>'Raw data'!I7/'Raw data'!C7</f>
        <v>-8.6206896551724137E-4</v>
      </c>
      <c r="E7" s="27">
        <f>'Raw data'!G7/'Raw data'!C7</f>
        <v>2.1551724137931036E-2</v>
      </c>
      <c r="F7" s="27">
        <f>'Raw data'!L7/'Raw data'!M7</f>
        <v>1.2352941176470589</v>
      </c>
      <c r="G7" s="27">
        <f>'Raw data'!N7/'Raw data'!P7</f>
        <v>2.1379310344827585</v>
      </c>
      <c r="H7" s="27">
        <f>'Raw data'!I7/'Raw data'!P7</f>
        <v>-6.8965517241379309E-3</v>
      </c>
      <c r="I7" s="27">
        <f>'Raw data'!D7/'Raw data'!K7</f>
        <v>43.18181818181818</v>
      </c>
      <c r="J7" s="4"/>
      <c r="K7" s="4"/>
      <c r="L7" s="4"/>
      <c r="M7" s="4"/>
      <c r="N7" s="4"/>
      <c r="O7" s="4"/>
    </row>
    <row r="8" spans="1:15">
      <c r="A8" s="3" t="s">
        <v>39</v>
      </c>
      <c r="B8" s="28">
        <v>2024</v>
      </c>
      <c r="C8" s="27">
        <f>'Raw data'!E8/'Raw data'!D8</f>
        <v>0.22448979591836735</v>
      </c>
      <c r="D8" s="27">
        <f>'Raw data'!I8/'Raw data'!C8</f>
        <v>2.5000000000000001E-3</v>
      </c>
      <c r="E8" s="27">
        <f>'Raw data'!G8/'Raw data'!C8</f>
        <v>2.5000000000000001E-2</v>
      </c>
      <c r="F8" s="27">
        <f>'Raw data'!L8/'Raw data'!M8</f>
        <v>1.25</v>
      </c>
      <c r="G8" s="27">
        <f>'Raw data'!N8/'Raw data'!P8</f>
        <v>2.1333333333333333</v>
      </c>
      <c r="H8" s="27">
        <f>'Raw data'!I8/'Raw data'!P8</f>
        <v>0.02</v>
      </c>
      <c r="I8" s="27">
        <f>'Raw data'!D8/'Raw data'!K8</f>
        <v>40.833333333333336</v>
      </c>
      <c r="J8" s="4"/>
      <c r="K8" s="4"/>
      <c r="L8" s="4"/>
      <c r="M8" s="4"/>
      <c r="N8" s="4"/>
      <c r="O8" s="4"/>
    </row>
    <row r="9" spans="1:15">
      <c r="A9" s="3" t="s">
        <v>39</v>
      </c>
      <c r="B9" s="28">
        <v>2025</v>
      </c>
      <c r="C9" s="27">
        <f>'Raw data'!E9/'Raw data'!D9</f>
        <v>0.22549019607843138</v>
      </c>
      <c r="D9" s="27">
        <f>'Raw data'!I9/'Raw data'!C9</f>
        <v>5.5999999999999999E-3</v>
      </c>
      <c r="E9" s="27">
        <f>'Raw data'!G9/'Raw data'!C9</f>
        <v>2.8000000000000001E-2</v>
      </c>
      <c r="F9" s="27">
        <f>'Raw data'!L9/'Raw data'!M9</f>
        <v>1.2777777777777777</v>
      </c>
      <c r="G9" s="27">
        <f>'Raw data'!N9/'Raw data'!P9</f>
        <v>2.129032258064516</v>
      </c>
      <c r="H9" s="27">
        <f>'Raw data'!I9/'Raw data'!P9</f>
        <v>4.5161290322580643E-2</v>
      </c>
      <c r="I9" s="27">
        <f>'Raw data'!D9/'Raw data'!K9</f>
        <v>39.230769230769234</v>
      </c>
    </row>
    <row r="10" spans="1:15">
      <c r="A10" s="3" t="s">
        <v>40</v>
      </c>
      <c r="B10" s="28">
        <v>2022</v>
      </c>
      <c r="C10" s="27">
        <f>'Raw data'!E10/'Raw data'!D10</f>
        <v>0.28019323671497587</v>
      </c>
      <c r="D10" s="27">
        <f>'Raw data'!I10/'Raw data'!C10</f>
        <v>7.9245283018867921E-2</v>
      </c>
      <c r="E10" s="27">
        <f>'Raw data'!G10/'Raw data'!C10</f>
        <v>9.056603773584905E-2</v>
      </c>
      <c r="F10" s="27">
        <f>'Raw data'!L10/'Raw data'!M10</f>
        <v>1.5</v>
      </c>
      <c r="G10" s="27">
        <f>'Raw data'!N10/'Raw data'!P10</f>
        <v>1.8181818181818181</v>
      </c>
      <c r="H10" s="27">
        <f>'Raw data'!I10/'Raw data'!P10</f>
        <v>0.47727272727272729</v>
      </c>
      <c r="I10" s="27">
        <f>'Raw data'!D10/'Raw data'!K10</f>
        <v>34.5</v>
      </c>
    </row>
    <row r="11" spans="1:15">
      <c r="A11" s="3" t="s">
        <v>40</v>
      </c>
      <c r="B11" s="28">
        <v>2023</v>
      </c>
      <c r="C11" s="27">
        <f>'Raw data'!E11/'Raw data'!D11</f>
        <v>0.27777777777777779</v>
      </c>
      <c r="D11" s="27">
        <f>'Raw data'!I11/'Raw data'!C11</f>
        <v>7.8985507246376818E-2</v>
      </c>
      <c r="E11" s="27">
        <f>'Raw data'!G11/'Raw data'!C11</f>
        <v>9.0579710144927536E-2</v>
      </c>
      <c r="F11" s="27">
        <f>'Raw data'!L11/'Raw data'!M11</f>
        <v>1.524390243902439</v>
      </c>
      <c r="G11" s="27">
        <f>'Raw data'!N11/'Raw data'!P11</f>
        <v>1.7872340425531914</v>
      </c>
      <c r="H11" s="27">
        <f>'Raw data'!I11/'Raw data'!P11</f>
        <v>0.46382978723404256</v>
      </c>
      <c r="I11" s="27">
        <f>'Raw data'!D11/'Raw data'!K11</f>
        <v>33.75</v>
      </c>
    </row>
    <row r="12" spans="1:15">
      <c r="A12" s="3" t="s">
        <v>40</v>
      </c>
      <c r="B12" s="28">
        <v>2024</v>
      </c>
      <c r="C12" s="27">
        <f>'Raw data'!E12/'Raw data'!D12</f>
        <v>0.28000000000000003</v>
      </c>
      <c r="D12" s="27">
        <f>'Raw data'!I12/'Raw data'!C12</f>
        <v>8.1944444444444445E-2</v>
      </c>
      <c r="E12" s="27">
        <f>'Raw data'!G12/'Raw data'!C12</f>
        <v>9.375E-2</v>
      </c>
      <c r="F12" s="27">
        <f>'Raw data'!L12/'Raw data'!M12</f>
        <v>1.5294117647058822</v>
      </c>
      <c r="G12" s="27">
        <f>'Raw data'!N12/'Raw data'!P12</f>
        <v>1.76</v>
      </c>
      <c r="H12" s="27">
        <f>'Raw data'!I12/'Raw data'!P12</f>
        <v>0.47199999999999998</v>
      </c>
      <c r="I12" s="27">
        <f>'Raw data'!D12/'Raw data'!K12</f>
        <v>33.088235294117645</v>
      </c>
    </row>
    <row r="13" spans="1:15">
      <c r="A13" s="3" t="s">
        <v>40</v>
      </c>
      <c r="B13" s="28">
        <v>2025</v>
      </c>
      <c r="C13" s="27">
        <f>'Raw data'!E13/'Raw data'!D13</f>
        <v>0.2711864406779661</v>
      </c>
      <c r="D13" s="27">
        <f>'Raw data'!I13/'Raw data'!C13</f>
        <v>7.8E-2</v>
      </c>
      <c r="E13" s="27">
        <f>'Raw data'!G13/'Raw data'!C13</f>
        <v>0.09</v>
      </c>
      <c r="F13" s="27">
        <f>'Raw data'!L13/'Raw data'!M13</f>
        <v>1.5340909090909092</v>
      </c>
      <c r="G13" s="27">
        <f>'Raw data'!N13/'Raw data'!P13</f>
        <v>1.7358490566037736</v>
      </c>
      <c r="H13" s="27">
        <f>'Raw data'!I13/'Raw data'!P13</f>
        <v>0.44150943396226416</v>
      </c>
      <c r="I13" s="27">
        <f>'Raw data'!D13/'Raw data'!K13</f>
        <v>32.777777777777779</v>
      </c>
    </row>
    <row r="14" spans="1:15">
      <c r="C14" s="4"/>
      <c r="D14" s="4"/>
      <c r="E14" s="4"/>
      <c r="F14" s="4"/>
      <c r="G14" s="4"/>
      <c r="H14" s="4"/>
      <c r="I14" s="4"/>
    </row>
    <row r="15" spans="1:15">
      <c r="C15" s="4"/>
      <c r="D15" s="4"/>
      <c r="E15" s="4"/>
      <c r="F15" s="4"/>
      <c r="G15" s="4"/>
      <c r="H15" s="4"/>
      <c r="I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3CE9-34C0-425E-9664-D6D02C807ED7}">
  <dimension ref="B1:K18"/>
  <sheetViews>
    <sheetView workbookViewId="0">
      <selection sqref="A1:K18"/>
    </sheetView>
  </sheetViews>
  <sheetFormatPr defaultRowHeight="15"/>
  <cols>
    <col min="2" max="2" width="6.28515625" bestFit="1" customWidth="1"/>
    <col min="3" max="3" width="9.7109375" bestFit="1" customWidth="1"/>
    <col min="4" max="4" width="15" bestFit="1" customWidth="1"/>
    <col min="5" max="5" width="14.5703125" bestFit="1" customWidth="1"/>
    <col min="8" max="8" width="10.85546875" bestFit="1" customWidth="1"/>
  </cols>
  <sheetData>
    <row r="1" spans="2:11" ht="20.25">
      <c r="B1" s="38" t="s">
        <v>20</v>
      </c>
      <c r="C1" s="38"/>
      <c r="D1" s="38"/>
      <c r="E1" s="38"/>
      <c r="F1" s="38"/>
      <c r="G1" s="38"/>
      <c r="H1" s="38"/>
      <c r="I1" s="38"/>
      <c r="J1" s="38"/>
      <c r="K1" s="38"/>
    </row>
    <row r="2" spans="2:11">
      <c r="B2" s="39" t="s">
        <v>21</v>
      </c>
      <c r="C2" s="39"/>
      <c r="D2" s="39"/>
      <c r="E2" s="39"/>
      <c r="F2" s="39"/>
      <c r="G2" s="39"/>
      <c r="H2" s="39"/>
      <c r="I2" s="39"/>
      <c r="J2" s="39"/>
      <c r="K2" s="39"/>
    </row>
    <row r="3" spans="2:11">
      <c r="B3" s="40">
        <f ca="1">TODAY()</f>
        <v>46018</v>
      </c>
      <c r="C3" s="40"/>
      <c r="D3" s="40"/>
      <c r="E3" s="40"/>
      <c r="F3" s="40"/>
      <c r="G3" s="40"/>
      <c r="H3" s="40"/>
      <c r="I3" s="40"/>
      <c r="J3" s="40"/>
      <c r="K3" s="40"/>
    </row>
    <row r="5" spans="2:11"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13" t="s">
        <v>35</v>
      </c>
      <c r="H5" s="3"/>
    </row>
    <row r="6" spans="2:11" ht="30">
      <c r="B6" s="5" t="s">
        <v>1</v>
      </c>
      <c r="C6" s="5" t="s">
        <v>0</v>
      </c>
      <c r="D6" s="5" t="s">
        <v>2</v>
      </c>
      <c r="E6" s="14" t="s">
        <v>33</v>
      </c>
      <c r="F6" s="14" t="s">
        <v>34</v>
      </c>
      <c r="G6" s="14" t="s">
        <v>19</v>
      </c>
      <c r="H6" s="15" t="s">
        <v>36</v>
      </c>
    </row>
    <row r="7" spans="2:11">
      <c r="B7" s="8">
        <v>2022</v>
      </c>
      <c r="C7" s="3" t="s">
        <v>38</v>
      </c>
      <c r="D7" s="9">
        <f>INDEX('Raw data'!C:C, MATCH(2022, 'Raw data'!B:B, 0))</f>
        <v>171890000</v>
      </c>
      <c r="E7" s="11">
        <f>IFERROR('Raw data'!E2/'Raw data'!C2,"")</f>
        <v>0.24002559776601315</v>
      </c>
      <c r="F7" s="11">
        <f>IFERROR('Raw data'!I2/'Raw data'!P2,"")</f>
        <v>0.58357575757575753</v>
      </c>
      <c r="G7" s="11">
        <f>IFERROR('Raw data'!O2/'Raw data'!P2,"")</f>
        <v>0.66666666666666663</v>
      </c>
      <c r="H7" s="3" t="str">
        <f t="shared" ref="H7:H18" si="0">IF(OR(F7&lt;=0, G7&gt;1), "HIGH RISK", IF(OR(AND(F7&gt;0, F7&lt;0.15), AND(G7&gt;=0.6, G7&lt;=1)), "MODERATE", "HEALTHY"))</f>
        <v>MODERATE</v>
      </c>
    </row>
    <row r="8" spans="2:11">
      <c r="B8" s="8">
        <v>2023</v>
      </c>
      <c r="C8" s="3" t="s">
        <v>38</v>
      </c>
      <c r="D8" s="9">
        <f>INDEX('Raw data'!C:C, MATCH(2023, 'Raw data'!B:B, 0))</f>
        <v>180500000</v>
      </c>
      <c r="E8" s="11">
        <f>IFERROR('Raw data'!E3/'Raw data'!C3,"")</f>
        <v>0.24099722991689751</v>
      </c>
      <c r="F8" s="11">
        <f>IFERROR('Raw data'!I3/'Raw data'!P3,"")</f>
        <v>0.58285714285714285</v>
      </c>
      <c r="G8" s="11">
        <f>IFERROR('Raw data'!O3/'Raw data'!P3,"")</f>
        <v>0.65714285714285714</v>
      </c>
      <c r="H8" s="3" t="str">
        <f t="shared" si="0"/>
        <v>MODERATE</v>
      </c>
    </row>
    <row r="9" spans="2:11">
      <c r="B9" s="8">
        <v>2024</v>
      </c>
      <c r="C9" s="3" t="s">
        <v>38</v>
      </c>
      <c r="D9" s="9">
        <f>INDEX('Raw data'!C:C, MATCH(2024, 'Raw data'!B:B, 0))</f>
        <v>190000000</v>
      </c>
      <c r="E9" s="11">
        <f>IFERROR('Raw data'!E4/'Raw data'!C4,"")</f>
        <v>0.23684210526315788</v>
      </c>
      <c r="F9" s="11">
        <f>IFERROR('Raw data'!I4/'Raw data'!P4,"")</f>
        <v>0.57777777777777772</v>
      </c>
      <c r="G9" s="11">
        <f>IFERROR('Raw data'!O4/'Raw data'!P4,"")</f>
        <v>0.66666666666666663</v>
      </c>
      <c r="H9" s="3" t="str">
        <f t="shared" si="0"/>
        <v>MODERATE</v>
      </c>
    </row>
    <row r="10" spans="2:11">
      <c r="B10" s="8">
        <v>2025</v>
      </c>
      <c r="C10" s="3" t="s">
        <v>38</v>
      </c>
      <c r="D10" s="9">
        <f>INDEX('Raw data'!C:C, MATCH(2025, 'Raw data'!B:B, 0))</f>
        <v>200000000</v>
      </c>
      <c r="E10" s="11">
        <f>IFERROR('Raw data'!E5/'Raw data'!C5,"")</f>
        <v>0.24</v>
      </c>
      <c r="F10" s="11">
        <f>IFERROR('Raw data'!I5/'Raw data'!P5,"")</f>
        <v>0.59736842105263155</v>
      </c>
      <c r="G10" s="11">
        <f>IFERROR('Raw data'!O5/'Raw data'!P5,"")</f>
        <v>0.65789473684210531</v>
      </c>
      <c r="H10" s="3" t="str">
        <f t="shared" si="0"/>
        <v>MODERATE</v>
      </c>
    </row>
    <row r="11" spans="2:11">
      <c r="B11" s="8">
        <v>2022</v>
      </c>
      <c r="C11" s="3" t="s">
        <v>39</v>
      </c>
      <c r="D11" s="9" cm="1">
        <f t="array" ref="D11">INDEX('Raw data'!C:C, MATCH(1, ('Raw data'!A:A="Beta Retail Group Ltd")*('Raw data'!B:B=2022), 0))</f>
        <v>112300000</v>
      </c>
      <c r="E11" s="11">
        <f>IFERROR('Raw data'!E6/'Raw data'!C6,"")</f>
        <v>0.18076580587711488</v>
      </c>
      <c r="F11" s="11">
        <f>IFERROR('Raw data'!I6/'Raw data'!P6,"")</f>
        <v>-1.4285714285714285E-2</v>
      </c>
      <c r="G11" s="11">
        <f>IFERROR('Raw data'!O6/'Raw data'!P6,"")</f>
        <v>1.1428571428571428</v>
      </c>
      <c r="H11" s="3" t="str">
        <f t="shared" si="0"/>
        <v>HIGH RISK</v>
      </c>
    </row>
    <row r="12" spans="2:11">
      <c r="B12" s="8">
        <v>2023</v>
      </c>
      <c r="C12" s="3" t="s">
        <v>39</v>
      </c>
      <c r="D12" s="9" cm="1">
        <f t="array" ref="D12">INDEX('Raw data'!C:C, MATCH(1, ('Raw data'!A:A="Beta Retail Group Ltd")*('Raw data'!B:B=2023), 0))</f>
        <v>116000000</v>
      </c>
      <c r="E12" s="11">
        <f>IFERROR('Raw data'!E7/'Raw data'!C7,"")</f>
        <v>0.18103448275862069</v>
      </c>
      <c r="F12" s="11">
        <f>IFERROR('Raw data'!I7/'Raw data'!P7,"")</f>
        <v>-6.8965517241379309E-3</v>
      </c>
      <c r="G12" s="11">
        <f>IFERROR('Raw data'!O7/'Raw data'!P7,"")</f>
        <v>1.1379310344827587</v>
      </c>
      <c r="H12" s="3" t="str">
        <f t="shared" si="0"/>
        <v>HIGH RISK</v>
      </c>
    </row>
    <row r="13" spans="2:11">
      <c r="B13" s="8">
        <v>2024</v>
      </c>
      <c r="C13" s="3" t="s">
        <v>39</v>
      </c>
      <c r="D13" s="9" cm="1">
        <f t="array" ref="D13">INDEX('Raw data'!C:C, MATCH(1, ('Raw data'!A:A="Beta Retail Group Ltd")*('Raw data'!B:B=2024), 0))</f>
        <v>120000000</v>
      </c>
      <c r="E13" s="11">
        <f>IFERROR('Raw data'!E8/'Raw data'!C8,"")</f>
        <v>0.18333333333333332</v>
      </c>
      <c r="F13" s="11">
        <f>IFERROR('Raw data'!I8/'Raw data'!P8,"")</f>
        <v>0.02</v>
      </c>
      <c r="G13" s="11">
        <f>IFERROR('Raw data'!O8/'Raw data'!P8,"")</f>
        <v>1.1333333333333333</v>
      </c>
      <c r="H13" s="3" t="str">
        <f t="shared" si="0"/>
        <v>HIGH RISK</v>
      </c>
    </row>
    <row r="14" spans="2:11">
      <c r="B14" s="8">
        <v>2025</v>
      </c>
      <c r="C14" s="3" t="s">
        <v>39</v>
      </c>
      <c r="D14" s="9">
        <f>INDEX('Raw data'!C:C, MATCH(2025, 'Raw data'!B:B, 0))</f>
        <v>200000000</v>
      </c>
      <c r="E14" s="11">
        <f>IFERROR('Raw data'!E9/'Raw data'!C9,"")</f>
        <v>0.184</v>
      </c>
      <c r="F14" s="11">
        <f>IFERROR('Raw data'!I9/'Raw data'!P9,"")</f>
        <v>4.5161290322580643E-2</v>
      </c>
      <c r="G14" s="11">
        <f>IFERROR('Raw data'!O9/'Raw data'!P9,"")</f>
        <v>1.1290322580645162</v>
      </c>
      <c r="H14" s="3" t="str">
        <f t="shared" si="0"/>
        <v>HIGH RISK</v>
      </c>
    </row>
    <row r="15" spans="2:11">
      <c r="B15" s="8">
        <v>2022</v>
      </c>
      <c r="C15" s="3" t="s">
        <v>40</v>
      </c>
      <c r="D15" s="9" cm="1">
        <f t="array" ref="D15">INDEX('Raw data'!C:C, MATCH(1, ('Raw data'!A:A="Gamma Consumer Stores Ltd")*('Raw data'!B:B=2022), 0))</f>
        <v>132500000</v>
      </c>
      <c r="E15" s="11">
        <f>IFERROR('Raw data'!E10/'Raw data'!C10,"")</f>
        <v>0.21886792452830189</v>
      </c>
      <c r="F15" s="11">
        <f>IFERROR('Raw data'!I10/'Raw data'!P10,"")</f>
        <v>0.47727272727272729</v>
      </c>
      <c r="G15" s="11">
        <f>IFERROR('Raw data'!O10/'Raw data'!P10,"")</f>
        <v>0.81818181818181823</v>
      </c>
      <c r="H15" s="3" t="str">
        <f t="shared" si="0"/>
        <v>MODERATE</v>
      </c>
    </row>
    <row r="16" spans="2:11">
      <c r="B16" s="8">
        <v>2023</v>
      </c>
      <c r="C16" s="3" t="s">
        <v>40</v>
      </c>
      <c r="D16" s="9" cm="1">
        <f t="array" ref="D16">INDEX('Raw data'!C:C, MATCH(1, ('Raw data'!A:A="Gamma Consumer Stores Ltd")*('Raw data'!B:B=2023), 0))</f>
        <v>138000000</v>
      </c>
      <c r="E16" s="11">
        <f>IFERROR('Raw data'!E11/'Raw data'!C11,"")</f>
        <v>0.21739130434782608</v>
      </c>
      <c r="F16" s="11">
        <f>IFERROR('Raw data'!I11/'Raw data'!P11,"")</f>
        <v>0.46382978723404256</v>
      </c>
      <c r="G16" s="11">
        <f>IFERROR('Raw data'!O11/'Raw data'!P11,"")</f>
        <v>0.78723404255319152</v>
      </c>
      <c r="H16" s="3" t="str">
        <f t="shared" si="0"/>
        <v>MODERATE</v>
      </c>
    </row>
    <row r="17" spans="2:8">
      <c r="B17" s="8">
        <v>2024</v>
      </c>
      <c r="C17" s="3" t="s">
        <v>40</v>
      </c>
      <c r="D17" s="9" cm="1">
        <f t="array" ref="D17">INDEX('Raw data'!C:C, MATCH(1, ('Raw data'!A:A="Gamma Consumer Stores Ltd")*('Raw data'!B:B=2024), 0))</f>
        <v>144000000</v>
      </c>
      <c r="E17" s="11">
        <f>IFERROR('Raw data'!E12/'Raw data'!C12,"")</f>
        <v>0.21875</v>
      </c>
      <c r="F17" s="11">
        <f>IFERROR('Raw data'!I12/'Raw data'!P12,"")</f>
        <v>0.47199999999999998</v>
      </c>
      <c r="G17" s="11">
        <f>IFERROR('Raw data'!O12/'Raw data'!P12,"")</f>
        <v>0.76</v>
      </c>
      <c r="H17" s="3" t="str">
        <f t="shared" si="0"/>
        <v>MODERATE</v>
      </c>
    </row>
    <row r="18" spans="2:8">
      <c r="B18" s="8">
        <v>2025</v>
      </c>
      <c r="C18" s="3" t="s">
        <v>40</v>
      </c>
      <c r="D18" s="9">
        <f>INDEX('Raw data'!C:C, MATCH(2025, 'Raw data'!B:B, 0))</f>
        <v>200000000</v>
      </c>
      <c r="E18" s="11">
        <f>IFERROR('Raw data'!E13/'Raw data'!C13,"")</f>
        <v>0.21333333333333335</v>
      </c>
      <c r="F18" s="11">
        <f>IFERROR('Raw data'!I13/'Raw data'!P13,"")</f>
        <v>0.44150943396226416</v>
      </c>
      <c r="G18" s="11">
        <f>IFERROR('Raw data'!O13/'Raw data'!P13,"")</f>
        <v>0.73584905660377353</v>
      </c>
      <c r="H18" s="3" t="str">
        <f t="shared" si="0"/>
        <v>MODERATE</v>
      </c>
    </row>
  </sheetData>
  <mergeCells count="3">
    <mergeCell ref="B1:K1"/>
    <mergeCell ref="B2:K2"/>
    <mergeCell ref="B3:K3"/>
  </mergeCells>
  <conditionalFormatting sqref="E7:E18">
    <cfRule type="colorScale" priority="1">
      <colorScale>
        <cfvo type="percentile" val="10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percentile" val="10"/>
        <cfvo type="percentile" val="50"/>
        <cfvo type="max"/>
        <color rgb="FFF8696B"/>
        <color rgb="FFFFEB84"/>
        <color rgb="FF63BE7B"/>
      </colorScale>
    </cfRule>
  </conditionalFormatting>
  <conditionalFormatting sqref="E7:G18">
    <cfRule type="expression" priority="9">
      <formula>E7&gt;=30%</formula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955F-A60E-41D6-BA04-D7BABD6FDB31}">
  <dimension ref="A1:D5"/>
  <sheetViews>
    <sheetView workbookViewId="0">
      <selection sqref="A1:D5"/>
    </sheetView>
  </sheetViews>
  <sheetFormatPr defaultRowHeight="15"/>
  <cols>
    <col min="3" max="3" width="12.5703125" bestFit="1" customWidth="1"/>
    <col min="4" max="4" width="10.85546875" bestFit="1" customWidth="1"/>
  </cols>
  <sheetData>
    <row r="1" spans="1:4" ht="60">
      <c r="A1" s="18" t="s">
        <v>1</v>
      </c>
      <c r="B1" s="29" t="s">
        <v>38</v>
      </c>
      <c r="C1" s="29" t="s">
        <v>39</v>
      </c>
      <c r="D1" s="29" t="s">
        <v>40</v>
      </c>
    </row>
    <row r="2" spans="1:4">
      <c r="A2" s="7">
        <v>2022</v>
      </c>
      <c r="B2" s="7">
        <v>197000</v>
      </c>
      <c r="C2" s="7">
        <v>184000</v>
      </c>
      <c r="D2" s="7">
        <v>149000</v>
      </c>
    </row>
    <row r="3" spans="1:4">
      <c r="A3" s="7">
        <v>2023</v>
      </c>
      <c r="B3" s="7">
        <f>197000*1.09</f>
        <v>214730.00000000003</v>
      </c>
      <c r="C3" s="7">
        <f>C2*1.076</f>
        <v>197984</v>
      </c>
      <c r="D3" s="7">
        <f>D2*1.081</f>
        <v>161069</v>
      </c>
    </row>
    <row r="4" spans="1:4">
      <c r="A4" s="7">
        <v>2024</v>
      </c>
      <c r="B4" s="7">
        <f>215000*1.11</f>
        <v>238650.00000000003</v>
      </c>
      <c r="C4" s="8">
        <f>C3*1.071</f>
        <v>212040.864</v>
      </c>
      <c r="D4" s="8">
        <f>D3*1.075</f>
        <v>173149.17499999999</v>
      </c>
    </row>
    <row r="5" spans="1:4">
      <c r="A5" s="7">
        <v>2025</v>
      </c>
      <c r="B5" s="7">
        <f>238000*1.07</f>
        <v>254660.00000000003</v>
      </c>
      <c r="C5" s="19">
        <f>C4*1.061</f>
        <v>224975.35670399998</v>
      </c>
      <c r="D5" s="19">
        <f>D4*1.069</f>
        <v>185096.46807499998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31ED-2AB6-4B10-8E92-63F71A33838A}">
  <dimension ref="A1:L6"/>
  <sheetViews>
    <sheetView tabSelected="1" workbookViewId="0">
      <selection sqref="A1:D6"/>
    </sheetView>
  </sheetViews>
  <sheetFormatPr defaultRowHeight="15"/>
  <cols>
    <col min="1" max="1" width="14.140625" customWidth="1"/>
    <col min="2" max="3" width="11.42578125" bestFit="1" customWidth="1"/>
    <col min="9" max="10" width="11.42578125" bestFit="1" customWidth="1"/>
  </cols>
  <sheetData>
    <row r="1" spans="1:12" ht="60.75">
      <c r="A1" s="18" t="s">
        <v>1</v>
      </c>
      <c r="B1" s="29" t="s">
        <v>38</v>
      </c>
      <c r="C1" s="29" t="s">
        <v>39</v>
      </c>
      <c r="D1" s="29" t="s">
        <v>40</v>
      </c>
      <c r="F1" s="23"/>
      <c r="G1" s="23"/>
      <c r="H1" s="23"/>
      <c r="I1" s="23"/>
      <c r="J1" s="23"/>
    </row>
    <row r="2" spans="1:12">
      <c r="A2" s="7">
        <v>2022</v>
      </c>
      <c r="B2" s="7">
        <v>197000</v>
      </c>
      <c r="C2" s="7">
        <v>184000</v>
      </c>
      <c r="D2" s="7">
        <v>149000</v>
      </c>
      <c r="E2" s="16"/>
      <c r="F2" s="24"/>
      <c r="G2" s="24"/>
      <c r="H2" s="24"/>
      <c r="I2" s="24"/>
      <c r="J2" s="24"/>
    </row>
    <row r="3" spans="1:12">
      <c r="A3" s="7">
        <v>2023</v>
      </c>
      <c r="B3" s="7">
        <f>197000*1.09</f>
        <v>214730.00000000003</v>
      </c>
      <c r="C3" s="7">
        <f>C2*1.076</f>
        <v>197984</v>
      </c>
      <c r="D3" s="7">
        <f>D2*1.081</f>
        <v>161069</v>
      </c>
      <c r="E3" s="16"/>
      <c r="F3" s="25"/>
      <c r="G3" s="25"/>
      <c r="H3" s="25"/>
      <c r="I3" s="25"/>
      <c r="J3" s="25"/>
    </row>
    <row r="4" spans="1:12">
      <c r="A4" s="7">
        <v>2024</v>
      </c>
      <c r="B4" s="7">
        <f>215000*1.11</f>
        <v>238650.00000000003</v>
      </c>
      <c r="C4" s="8">
        <f>C3*1.071</f>
        <v>212040.864</v>
      </c>
      <c r="D4" s="8">
        <f>D3*1.075</f>
        <v>173149.17499999999</v>
      </c>
      <c r="E4" s="16"/>
      <c r="F4" s="10"/>
      <c r="G4" s="10"/>
      <c r="H4" s="21"/>
      <c r="I4" s="22"/>
      <c r="J4" s="22"/>
      <c r="L4" s="10"/>
    </row>
    <row r="5" spans="1:12">
      <c r="A5" s="7">
        <v>2025</v>
      </c>
      <c r="B5" s="7">
        <f>238000*1.07</f>
        <v>254660.00000000003</v>
      </c>
      <c r="C5" s="19">
        <f>C4*1.061</f>
        <v>224975.35670399998</v>
      </c>
      <c r="D5" s="19">
        <f>D4*1.069</f>
        <v>185096.46807499998</v>
      </c>
      <c r="E5" s="16"/>
      <c r="H5" s="20"/>
    </row>
    <row r="6" spans="1:12" ht="33" customHeight="1">
      <c r="A6" s="26" t="s">
        <v>37</v>
      </c>
      <c r="B6" s="12">
        <f>MAX((B5/B2)^(1/3)-1, (C5/C2)^(1/3)-1, (D5/D2)^(1/3)-1)</f>
        <v>8.934347449956026E-2</v>
      </c>
      <c r="C6" s="12">
        <f>(C5/C2)^(1/3)-1</f>
        <v>6.9315122324189682E-2</v>
      </c>
      <c r="D6" s="12">
        <f>(D5/D2)^(1/3)-1</f>
        <v>7.4988837093385996E-2</v>
      </c>
      <c r="H6" s="20"/>
      <c r="I6" s="17"/>
      <c r="J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Ratios</vt:lpstr>
      <vt:lpstr>Dashboards</vt:lpstr>
      <vt:lpstr>Charts data</vt:lpstr>
      <vt:lpstr>CAGR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2015-06-05T18:17:20Z</dcterms:created>
  <dcterms:modified xsi:type="dcterms:W3CDTF">2025-12-27T17:35:23Z</dcterms:modified>
</cp:coreProperties>
</file>