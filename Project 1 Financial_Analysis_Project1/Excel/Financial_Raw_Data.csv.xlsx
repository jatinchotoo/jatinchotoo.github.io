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1 Financial_Analysis_Project1/Excel/"/>
    </mc:Choice>
  </mc:AlternateContent>
  <xr:revisionPtr revIDLastSave="2" documentId="11_F25DC773A252ABDACC1048F8919B6F265ADE58EE" xr6:coauthVersionLast="47" xr6:coauthVersionMax="47" xr10:uidLastSave="{54702CFE-8931-46A7-88AE-1D16D92BFF1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3" i="1" l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<sst xmlns="http://schemas.openxmlformats.org/spreadsheetml/2006/main" count="30" uniqueCount="21">
  <si>
    <t>Company</t>
  </si>
  <si>
    <t>Year</t>
  </si>
  <si>
    <t>Revenue</t>
  </si>
  <si>
    <t>Cost_of_Sales</t>
  </si>
  <si>
    <t>Gross_Profit</t>
  </si>
  <si>
    <t>Operating_Expenses</t>
  </si>
  <si>
    <t>Operating_Profit</t>
  </si>
  <si>
    <t>Finance_Costs</t>
  </si>
  <si>
    <t>Net_Profit</t>
  </si>
  <si>
    <t>Cash</t>
  </si>
  <si>
    <t>Inventory</t>
  </si>
  <si>
    <t>Current_Assets</t>
  </si>
  <si>
    <t>Current_Liabilities</t>
  </si>
  <si>
    <t>Total_Assets</t>
  </si>
  <si>
    <t>Total_Liabilities</t>
  </si>
  <si>
    <t>Shareholders_Equity</t>
  </si>
  <si>
    <t>Short_Term_Debt</t>
  </si>
  <si>
    <t>Long_Term_Debt</t>
  </si>
  <si>
    <t>Alpha Foods Holdings Ltd</t>
  </si>
  <si>
    <t>Beta Retail Group Ltd</t>
  </si>
  <si>
    <t>Gamma Consumer Stores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</si>
</sst>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2" fillId="0" borderId="1" xfId="1" applyNumberFormat="1" applyFont="1" applyBorder="1" applyAlignment="1">
      <alignment horizontal="right" vertical="center" wrapText="1"/>
    </xf>
    <xf numFmtId="164" fontId="2" fillId="0" borderId="2" xfId="1" applyNumberFormat="1" applyFont="1" applyBorder="1" applyAlignment="1">
      <alignment horizontal="right" vertical="center" wrapText="1"/>
    </xf>
    <xf numFmtId="164" fontId="2" fillId="0" borderId="3" xfId="1" applyNumberFormat="1" applyFont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4" xfId="0" applyBorder="1"/>
    <xf numFmtId="164" fontId="0" fillId="0" borderId="5" xfId="1" applyNumberFormat="1" applyFont="1" applyBorder="1" applyAlignment="1">
      <alignment horizontal="right" vertical="center" wrapText="1"/>
    </xf>
    <xf numFmtId="164" fontId="0" fillId="0" borderId="6" xfId="1" applyNumberFormat="1" applyFont="1" applyBorder="1" applyAlignment="1">
      <alignment horizontal="right" vertical="center" wrapText="1"/>
    </xf>
    <xf numFmtId="0" fontId="0" fillId="0" borderId="7" xfId="0" applyBorder="1"/>
    <xf numFmtId="164" fontId="0" fillId="0" borderId="8" xfId="1" applyNumberFormat="1" applyFont="1" applyBorder="1" applyAlignment="1">
      <alignment horizontal="right" vertical="center" wrapText="1"/>
    </xf>
    <xf numFmtId="164" fontId="0" fillId="0" borderId="9" xfId="1" applyNumberFormat="1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9FB380EF-237A-4B07-9600-4CCAFCCDA8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278CB-594E-4CC5-A20A-FC90854C52FF}" name="Table1" displayName="Table1" ref="A1:R13" totalsRowShown="0" headerRowDxfId="22" dataDxfId="21" headerRowBorderDxfId="19" tableBorderDxfId="20" totalsRowBorderDxfId="18" headerRowCellStyle="Comma" dataCellStyle="Comma">
  <autoFilter ref="A1:R13" xr:uid="{E64278CB-594E-4CC5-A20A-FC90854C52FF}"/>
  <tableColumns count="18">
    <tableColumn id="1" xr3:uid="{A7ACD498-991D-4C63-8D4A-4AC09AC32EF5}" name="Company" dataDxfId="17"/>
    <tableColumn id="2" xr3:uid="{116C4303-FFC3-4718-BD63-A07D4F4A64DF}" name="Year" dataDxfId="16" dataCellStyle="Comma"/>
    <tableColumn id="3" xr3:uid="{0E0B4A7F-37FE-4D3E-8FB0-6C51C6487F93}" name="Revenue" dataDxfId="15" dataCellStyle="Comma"/>
    <tableColumn id="4" xr3:uid="{6C2901D1-6388-4F45-B4D4-49E7CFF4E50F}" name="Cost_of_Sales" dataDxfId="14" dataCellStyle="Comma"/>
    <tableColumn id="5" xr3:uid="{7510F76A-54EC-4850-9A1C-CA157DC7AD41}" name="Gross_Profit" dataDxfId="13" dataCellStyle="Comma"/>
    <tableColumn id="6" xr3:uid="{BD3686FB-0C13-4202-A4DA-D8164E6121D7}" name="Operating_Expenses" dataDxfId="12" dataCellStyle="Comma"/>
    <tableColumn id="7" xr3:uid="{AA682800-09A0-43D7-A6AC-F3847A4BE959}" name="Operating_Profit" dataDxfId="11" dataCellStyle="Comma"/>
    <tableColumn id="8" xr3:uid="{6CF33CCD-2D53-440A-908A-835B56736BC4}" name="Finance_Costs" dataDxfId="10" dataCellStyle="Comma"/>
    <tableColumn id="9" xr3:uid="{2FCFDD6F-7E23-40D8-B322-00DB34F2903A}" name="Net_Profit" dataDxfId="9" dataCellStyle="Comma"/>
    <tableColumn id="10" xr3:uid="{71D813E6-BF06-4BF9-9066-1E35A7DAACAD}" name="Cash" dataDxfId="8" dataCellStyle="Comma"/>
    <tableColumn id="11" xr3:uid="{ABE286FE-33CE-4967-9632-80185EE9814A}" name="Inventory" dataDxfId="7" dataCellStyle="Comma"/>
    <tableColumn id="12" xr3:uid="{145B8978-720F-412F-A036-CBCC726566F1}" name="Current_Assets" dataDxfId="6" dataCellStyle="Comma"/>
    <tableColumn id="13" xr3:uid="{6A3CF39B-8C0A-4641-9017-C8AABC578D40}" name="Current_Liabilities" dataDxfId="5" dataCellStyle="Comma"/>
    <tableColumn id="14" xr3:uid="{E1B05F58-E07C-4062-A2C1-CCE493D4E553}" name="Total_Assets" dataDxfId="4" dataCellStyle="Comma"/>
    <tableColumn id="15" xr3:uid="{3E5843CB-6057-4A68-84C4-C2EF68900940}" name="Total_Liabilities" dataDxfId="3" dataCellStyle="Comma"/>
    <tableColumn id="16" xr3:uid="{5C632E8A-D20D-4B58-B58F-0A40B11002A4}" name="Shareholders_Equity" dataDxfId="2" dataCellStyle="Comma"/>
    <tableColumn id="17" xr3:uid="{2DE75B82-5E57-4859-9289-33CE1191AEF4}" name="Short_Term_Debt" dataDxfId="1" dataCellStyle="Comma"/>
    <tableColumn id="18" xr3:uid="{2C96FB97-FCBE-4559-9E75-225E55C52E11}" name="Long_Term_Deb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sqref="A1:XFD1048576"/>
    </sheetView>
  </sheetViews>
  <sheetFormatPr defaultRowHeight="15" x14ac:dyDescent="0.25"/>
  <cols>
    <col min="1" max="1" width="17.5703125" style="4" customWidth="1"/>
    <col min="2" max="2" width="15.85546875" style="4" bestFit="1" customWidth="1"/>
    <col min="3" max="3" width="14.42578125" style="4" bestFit="1" customWidth="1"/>
    <col min="4" max="4" width="16.28515625" style="4" customWidth="1"/>
    <col min="5" max="5" width="15" style="4" customWidth="1"/>
    <col min="6" max="6" width="22.140625" style="4" customWidth="1"/>
    <col min="7" max="7" width="18.85546875" style="4" customWidth="1"/>
    <col min="8" max="8" width="16.5703125" style="4" customWidth="1"/>
    <col min="9" max="9" width="13.28515625" style="4" customWidth="1"/>
    <col min="10" max="10" width="10.5703125" style="4" customWidth="1"/>
    <col min="11" max="11" width="12.5703125" style="4" customWidth="1"/>
    <col min="12" max="12" width="17.42578125" style="4" customWidth="1"/>
    <col min="13" max="13" width="20.28515625" style="4" customWidth="1"/>
    <col min="14" max="14" width="15.140625" style="4" customWidth="1"/>
    <col min="15" max="15" width="18" style="4" customWidth="1"/>
    <col min="16" max="16" width="22.28515625" style="4" customWidth="1"/>
    <col min="17" max="17" width="19.5703125" style="4" customWidth="1"/>
    <col min="18" max="18" width="19" style="4" customWidth="1"/>
    <col min="19" max="19" width="10.5703125" style="4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26" x14ac:dyDescent="0.25">
      <c r="A2" s="5" t="s">
        <v>18</v>
      </c>
      <c r="B2" s="6">
        <v>2022</v>
      </c>
      <c r="C2" s="6">
        <v>171890000</v>
      </c>
      <c r="D2" s="6">
        <v>130632000</v>
      </c>
      <c r="E2" s="6">
        <v>41258000</v>
      </c>
      <c r="F2" s="6">
        <v>20000000</v>
      </c>
      <c r="G2" s="6">
        <v>21258000</v>
      </c>
      <c r="H2" s="6">
        <v>2000000</v>
      </c>
      <c r="I2" s="6">
        <v>19258000</v>
      </c>
      <c r="J2" s="6">
        <v>12000000</v>
      </c>
      <c r="K2" s="6">
        <v>4000000</v>
      </c>
      <c r="L2" s="6">
        <v>25000000</v>
      </c>
      <c r="M2" s="6">
        <v>14500000</v>
      </c>
      <c r="N2" s="6">
        <v>55000000</v>
      </c>
      <c r="O2" s="6">
        <v>22000000</v>
      </c>
      <c r="P2" s="6">
        <v>33000000</v>
      </c>
      <c r="Q2" s="6">
        <v>5000000</v>
      </c>
      <c r="R2" s="7">
        <v>17000000</v>
      </c>
      <c r="Z2">
        <f>IF(ISNUMBER(B2), B2, 0)</f>
        <v>2022</v>
      </c>
    </row>
    <row r="3" spans="1:26" x14ac:dyDescent="0.25">
      <c r="A3" s="5" t="s">
        <v>18</v>
      </c>
      <c r="B3" s="6">
        <v>2023</v>
      </c>
      <c r="C3" s="6">
        <v>180500000</v>
      </c>
      <c r="D3" s="6">
        <v>137000000</v>
      </c>
      <c r="E3" s="6">
        <v>43500000</v>
      </c>
      <c r="F3" s="6">
        <v>21000000</v>
      </c>
      <c r="G3" s="6">
        <v>22500000</v>
      </c>
      <c r="H3" s="6">
        <v>2100000</v>
      </c>
      <c r="I3" s="6">
        <v>20400000</v>
      </c>
      <c r="J3" s="6">
        <v>13000000</v>
      </c>
      <c r="K3" s="6">
        <v>4500000</v>
      </c>
      <c r="L3" s="6">
        <v>27000000</v>
      </c>
      <c r="M3" s="6">
        <v>15000000</v>
      </c>
      <c r="N3" s="6">
        <v>58000000</v>
      </c>
      <c r="O3" s="6">
        <v>23000000</v>
      </c>
      <c r="P3" s="6">
        <v>35000000</v>
      </c>
      <c r="Q3" s="6">
        <v>5200000</v>
      </c>
      <c r="R3" s="7">
        <v>17800000</v>
      </c>
      <c r="Z3">
        <f t="shared" ref="Z3:Z13" si="0">IF(ISNUMBER(B3), B3, 0)</f>
        <v>2023</v>
      </c>
    </row>
    <row r="4" spans="1:26" x14ac:dyDescent="0.25">
      <c r="A4" s="5" t="s">
        <v>18</v>
      </c>
      <c r="B4" s="6">
        <v>2024</v>
      </c>
      <c r="C4" s="6">
        <v>190000000</v>
      </c>
      <c r="D4" s="6">
        <v>145000000</v>
      </c>
      <c r="E4" s="6">
        <v>45000000</v>
      </c>
      <c r="F4" s="6">
        <v>22000000</v>
      </c>
      <c r="G4" s="6">
        <v>23000000</v>
      </c>
      <c r="H4" s="6">
        <v>2200000</v>
      </c>
      <c r="I4" s="6">
        <v>20800000</v>
      </c>
      <c r="J4" s="6">
        <v>13500000</v>
      </c>
      <c r="K4" s="6">
        <v>5000000</v>
      </c>
      <c r="L4" s="6">
        <v>28000000</v>
      </c>
      <c r="M4" s="6">
        <v>15500000</v>
      </c>
      <c r="N4" s="6">
        <v>60000000</v>
      </c>
      <c r="O4" s="6">
        <v>24000000</v>
      </c>
      <c r="P4" s="6">
        <v>36000000</v>
      </c>
      <c r="Q4" s="6">
        <v>5400000</v>
      </c>
      <c r="R4" s="7">
        <v>18600000</v>
      </c>
      <c r="Z4">
        <f t="shared" si="0"/>
        <v>2024</v>
      </c>
    </row>
    <row r="5" spans="1:26" x14ac:dyDescent="0.25">
      <c r="A5" s="5" t="s">
        <v>18</v>
      </c>
      <c r="B5" s="6">
        <v>2025</v>
      </c>
      <c r="C5" s="6">
        <v>200000000</v>
      </c>
      <c r="D5" s="6">
        <v>152000000</v>
      </c>
      <c r="E5" s="6">
        <v>48000000</v>
      </c>
      <c r="F5" s="6">
        <v>23000000</v>
      </c>
      <c r="G5" s="6">
        <v>25000000</v>
      </c>
      <c r="H5" s="6">
        <v>2300000</v>
      </c>
      <c r="I5" s="6">
        <v>22700000</v>
      </c>
      <c r="J5" s="6">
        <v>14500000</v>
      </c>
      <c r="K5" s="6">
        <v>5500000</v>
      </c>
      <c r="L5" s="6">
        <v>30000000</v>
      </c>
      <c r="M5" s="6">
        <v>16000000</v>
      </c>
      <c r="N5" s="6">
        <v>63000000</v>
      </c>
      <c r="O5" s="6">
        <v>25000000</v>
      </c>
      <c r="P5" s="6">
        <v>38000000</v>
      </c>
      <c r="Q5" s="6">
        <v>5600000</v>
      </c>
      <c r="R5" s="7">
        <v>19400000</v>
      </c>
      <c r="Z5">
        <f t="shared" si="0"/>
        <v>2025</v>
      </c>
    </row>
    <row r="6" spans="1:26" x14ac:dyDescent="0.25">
      <c r="A6" s="5" t="s">
        <v>19</v>
      </c>
      <c r="B6" s="6">
        <v>2022</v>
      </c>
      <c r="C6" s="6">
        <v>112300000</v>
      </c>
      <c r="D6" s="6">
        <v>92000000</v>
      </c>
      <c r="E6" s="6">
        <v>20300000</v>
      </c>
      <c r="F6" s="6">
        <v>18000000</v>
      </c>
      <c r="G6" s="6">
        <v>2300000</v>
      </c>
      <c r="H6" s="6">
        <v>2500000</v>
      </c>
      <c r="I6" s="6">
        <v>-200000</v>
      </c>
      <c r="J6" s="6">
        <v>5000000</v>
      </c>
      <c r="K6" s="6">
        <v>2000000</v>
      </c>
      <c r="L6" s="6">
        <v>10000000</v>
      </c>
      <c r="M6" s="6">
        <v>8300000</v>
      </c>
      <c r="N6" s="6">
        <v>30000000</v>
      </c>
      <c r="O6" s="6">
        <v>16000000</v>
      </c>
      <c r="P6" s="6">
        <v>14000000</v>
      </c>
      <c r="Q6" s="6">
        <v>6000000</v>
      </c>
      <c r="R6" s="7">
        <v>10000000</v>
      </c>
      <c r="Z6">
        <f t="shared" si="0"/>
        <v>2022</v>
      </c>
    </row>
    <row r="7" spans="1:26" x14ac:dyDescent="0.25">
      <c r="A7" s="5" t="s">
        <v>19</v>
      </c>
      <c r="B7" s="6">
        <v>2023</v>
      </c>
      <c r="C7" s="6">
        <v>116000000</v>
      </c>
      <c r="D7" s="6">
        <v>95000000</v>
      </c>
      <c r="E7" s="6">
        <v>21000000</v>
      </c>
      <c r="F7" s="6">
        <v>18500000</v>
      </c>
      <c r="G7" s="6">
        <v>2500000</v>
      </c>
      <c r="H7" s="6">
        <v>2600000</v>
      </c>
      <c r="I7" s="6">
        <v>-100000</v>
      </c>
      <c r="J7" s="6">
        <v>5200000</v>
      </c>
      <c r="K7" s="6">
        <v>2200000</v>
      </c>
      <c r="L7" s="6">
        <v>10500000</v>
      </c>
      <c r="M7" s="6">
        <v>8500000</v>
      </c>
      <c r="N7" s="6">
        <v>31000000</v>
      </c>
      <c r="O7" s="6">
        <v>16500000</v>
      </c>
      <c r="P7" s="6">
        <v>14500000</v>
      </c>
      <c r="Q7" s="6">
        <v>6200000</v>
      </c>
      <c r="R7" s="7">
        <v>10200000</v>
      </c>
      <c r="Z7">
        <f t="shared" si="0"/>
        <v>2023</v>
      </c>
    </row>
    <row r="8" spans="1:26" x14ac:dyDescent="0.25">
      <c r="A8" s="5" t="s">
        <v>19</v>
      </c>
      <c r="B8" s="6">
        <v>2024</v>
      </c>
      <c r="C8" s="6">
        <v>120000000</v>
      </c>
      <c r="D8" s="6">
        <v>98000000</v>
      </c>
      <c r="E8" s="6">
        <v>22000000</v>
      </c>
      <c r="F8" s="6">
        <v>19000000</v>
      </c>
      <c r="G8" s="6">
        <v>3000000</v>
      </c>
      <c r="H8" s="6">
        <v>2700000</v>
      </c>
      <c r="I8" s="6">
        <v>300000</v>
      </c>
      <c r="J8" s="6">
        <v>5400000</v>
      </c>
      <c r="K8" s="6">
        <v>2400000</v>
      </c>
      <c r="L8" s="6">
        <v>11000000</v>
      </c>
      <c r="M8" s="6">
        <v>8800000</v>
      </c>
      <c r="N8" s="6">
        <v>32000000</v>
      </c>
      <c r="O8" s="6">
        <v>17000000</v>
      </c>
      <c r="P8" s="6">
        <v>15000000</v>
      </c>
      <c r="Q8" s="6">
        <v>6400000</v>
      </c>
      <c r="R8" s="7">
        <v>10400000</v>
      </c>
      <c r="Z8">
        <f t="shared" si="0"/>
        <v>2024</v>
      </c>
    </row>
    <row r="9" spans="1:26" x14ac:dyDescent="0.25">
      <c r="A9" s="5" t="s">
        <v>19</v>
      </c>
      <c r="B9" s="6">
        <v>2025</v>
      </c>
      <c r="C9" s="6">
        <v>125000000</v>
      </c>
      <c r="D9" s="6">
        <v>102000000</v>
      </c>
      <c r="E9" s="6">
        <v>23000000</v>
      </c>
      <c r="F9" s="6">
        <v>19500000</v>
      </c>
      <c r="G9" s="6">
        <v>3500000</v>
      </c>
      <c r="H9" s="6">
        <v>2800000</v>
      </c>
      <c r="I9" s="6">
        <v>700000</v>
      </c>
      <c r="J9" s="6">
        <v>5600000</v>
      </c>
      <c r="K9" s="6">
        <v>2600000</v>
      </c>
      <c r="L9" s="6">
        <v>11500000</v>
      </c>
      <c r="M9" s="6">
        <v>9000000</v>
      </c>
      <c r="N9" s="6">
        <v>33000000</v>
      </c>
      <c r="O9" s="6">
        <v>17500000</v>
      </c>
      <c r="P9" s="6">
        <v>15500000</v>
      </c>
      <c r="Q9" s="6">
        <v>6600000</v>
      </c>
      <c r="R9" s="7">
        <v>10600000</v>
      </c>
      <c r="Z9">
        <f t="shared" si="0"/>
        <v>2025</v>
      </c>
    </row>
    <row r="10" spans="1:26" x14ac:dyDescent="0.25">
      <c r="A10" s="5" t="s">
        <v>20</v>
      </c>
      <c r="B10" s="6">
        <v>2022</v>
      </c>
      <c r="C10" s="6">
        <v>132500000</v>
      </c>
      <c r="D10" s="6">
        <v>103500000</v>
      </c>
      <c r="E10" s="6">
        <v>29000000</v>
      </c>
      <c r="F10" s="6">
        <v>17000000</v>
      </c>
      <c r="G10" s="6">
        <v>12000000</v>
      </c>
      <c r="H10" s="6">
        <v>1500000</v>
      </c>
      <c r="I10" s="6">
        <v>10500000</v>
      </c>
      <c r="J10" s="6">
        <v>7000000</v>
      </c>
      <c r="K10" s="6">
        <v>3000000</v>
      </c>
      <c r="L10" s="6">
        <v>12000000</v>
      </c>
      <c r="M10" s="6">
        <v>8000000</v>
      </c>
      <c r="N10" s="6">
        <v>40000000</v>
      </c>
      <c r="O10" s="6">
        <v>18000000</v>
      </c>
      <c r="P10" s="6">
        <v>22000000</v>
      </c>
      <c r="Q10" s="6">
        <v>4000000</v>
      </c>
      <c r="R10" s="7">
        <v>14000000</v>
      </c>
      <c r="Z10">
        <f t="shared" si="0"/>
        <v>2022</v>
      </c>
    </row>
    <row r="11" spans="1:26" x14ac:dyDescent="0.25">
      <c r="A11" s="5" t="s">
        <v>20</v>
      </c>
      <c r="B11" s="6">
        <v>2023</v>
      </c>
      <c r="C11" s="6">
        <v>138000000</v>
      </c>
      <c r="D11" s="6">
        <v>108000000</v>
      </c>
      <c r="E11" s="6">
        <v>30000000</v>
      </c>
      <c r="F11" s="6">
        <v>17500000</v>
      </c>
      <c r="G11" s="6">
        <v>12500000</v>
      </c>
      <c r="H11" s="6">
        <v>1600000</v>
      </c>
      <c r="I11" s="6">
        <v>10900000</v>
      </c>
      <c r="J11" s="6">
        <v>7500000</v>
      </c>
      <c r="K11" s="6">
        <v>3200000</v>
      </c>
      <c r="L11" s="6">
        <v>12500000</v>
      </c>
      <c r="M11" s="6">
        <v>8200000</v>
      </c>
      <c r="N11" s="6">
        <v>42000000</v>
      </c>
      <c r="O11" s="6">
        <v>18500000</v>
      </c>
      <c r="P11" s="6">
        <v>23500000</v>
      </c>
      <c r="Q11" s="6">
        <v>4200000</v>
      </c>
      <c r="R11" s="7">
        <v>14300000</v>
      </c>
      <c r="Z11">
        <f t="shared" si="0"/>
        <v>2023</v>
      </c>
    </row>
    <row r="12" spans="1:26" x14ac:dyDescent="0.25">
      <c r="A12" s="5" t="s">
        <v>20</v>
      </c>
      <c r="B12" s="6">
        <v>2024</v>
      </c>
      <c r="C12" s="6">
        <v>144000000</v>
      </c>
      <c r="D12" s="6">
        <v>112500000</v>
      </c>
      <c r="E12" s="6">
        <v>31500000</v>
      </c>
      <c r="F12" s="6">
        <v>18000000</v>
      </c>
      <c r="G12" s="6">
        <v>13500000</v>
      </c>
      <c r="H12" s="6">
        <v>1700000</v>
      </c>
      <c r="I12" s="6">
        <v>11800000</v>
      </c>
      <c r="J12" s="6">
        <v>7800000</v>
      </c>
      <c r="K12" s="6">
        <v>3400000</v>
      </c>
      <c r="L12" s="6">
        <v>13000000</v>
      </c>
      <c r="M12" s="6">
        <v>8500000</v>
      </c>
      <c r="N12" s="6">
        <v>44000000</v>
      </c>
      <c r="O12" s="6">
        <v>19000000</v>
      </c>
      <c r="P12" s="6">
        <v>25000000</v>
      </c>
      <c r="Q12" s="6">
        <v>4400000</v>
      </c>
      <c r="R12" s="7">
        <v>14600000</v>
      </c>
      <c r="Z12">
        <f t="shared" si="0"/>
        <v>2024</v>
      </c>
    </row>
    <row r="13" spans="1:26" x14ac:dyDescent="0.25">
      <c r="A13" s="8" t="s">
        <v>20</v>
      </c>
      <c r="B13" s="9">
        <v>2025</v>
      </c>
      <c r="C13" s="9">
        <v>150000000</v>
      </c>
      <c r="D13" s="9">
        <v>118000000</v>
      </c>
      <c r="E13" s="9">
        <v>32000000</v>
      </c>
      <c r="F13" s="9">
        <v>18500000</v>
      </c>
      <c r="G13" s="9">
        <v>13500000</v>
      </c>
      <c r="H13" s="9">
        <v>1800000</v>
      </c>
      <c r="I13" s="9">
        <v>11700000</v>
      </c>
      <c r="J13" s="9">
        <v>8000000</v>
      </c>
      <c r="K13" s="9">
        <v>3600000</v>
      </c>
      <c r="L13" s="9">
        <v>13500000</v>
      </c>
      <c r="M13" s="9">
        <v>8800000</v>
      </c>
      <c r="N13" s="9">
        <v>46000000</v>
      </c>
      <c r="O13" s="9">
        <v>19500000</v>
      </c>
      <c r="P13" s="9">
        <v>26500000</v>
      </c>
      <c r="Q13" s="9">
        <v>4600000</v>
      </c>
      <c r="R13" s="10">
        <v>14900000</v>
      </c>
      <c r="Z13">
        <f t="shared" si="0"/>
        <v>2025</v>
      </c>
    </row>
    <row r="15" spans="1:26" x14ac:dyDescent="0.25">
      <c r="B15"/>
    </row>
    <row r="16" spans="1:26" x14ac:dyDescent="0.25">
      <c r="A16"/>
      <c r="B16"/>
    </row>
    <row r="17" spans="1:1" x14ac:dyDescent="0.25">
      <c r="A17"/>
    </row>
    <row r="18" spans="1:1" x14ac:dyDescent="0.25">
      <c r="A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2025-12-31T13:14:16Z</dcterms:modified>
</cp:coreProperties>
</file>