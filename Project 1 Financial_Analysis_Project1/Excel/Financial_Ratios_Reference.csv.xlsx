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1 Financial_Analysis_Project1/Excel/"/>
    </mc:Choice>
  </mc:AlternateContent>
  <xr:revisionPtr revIDLastSave="2" documentId="11_F25DC773A252ABDACC1048F8919B6F265ADE58EE" xr6:coauthVersionLast="47" xr6:coauthVersionMax="47" xr10:uidLastSave="{7AB7A971-8290-45AF-B3B6-2238D66EBB0E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D3" i="1"/>
  <c r="C3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<sst xmlns="http://schemas.openxmlformats.org/spreadsheetml/2006/main" count="21" uniqueCount="12">
  <si>
    <t>Company</t>
  </si>
  <si>
    <t>Metric</t>
  </si>
  <si>
    <t>Gross Margin (%)</t>
  </si>
  <si>
    <t>Net Profit Margin (%)</t>
  </si>
  <si>
    <t>Operating Margin (%)</t>
  </si>
  <si>
    <t>Current Ratio</t>
  </si>
  <si>
    <t>Debt-to-Equity</t>
  </si>
  <si>
    <t>ROE (%)</t>
  </si>
  <si>
    <t>Inventory Turnover</t>
  </si>
  <si>
    <t>Alpha Foods Holdings Ltd</t>
  </si>
  <si>
    <t>Beta Retail Group Ltd</t>
  </si>
  <si>
    <t>Gamma Consumer Stores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</si>
</sst>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0" fillId="0" borderId="1" xfId="0" applyBorder="1"/>
    <xf numFmtId="41" fontId="0" fillId="0" borderId="1" xfId="0" applyNumberFormat="1" applyBorder="1" applyAlignment="1">
      <alignment horizontal="center" vertical="center" wrapText="1"/>
    </xf>
    <xf numFmtId="43" fontId="3" fillId="0" borderId="1" xfId="1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AF4BA419-0705-48AA-A4AA-4E26A0972C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c1db5ae67757206/Desktop/Projects/Project%201%20Financial_Analysis_Project1/Excel/Financial_Analysis_Project1excelFinancial_Data.xlsx" TargetMode="External"/><Relationship Id="rId1" Type="http://schemas.openxmlformats.org/officeDocument/2006/relationships/externalLinkPath" Target="Financial_Analysis_Project1excelFinanci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 Pivot"/>
      <sheetName val="Pivot years"/>
      <sheetName val="Raw data"/>
      <sheetName val="Ratios"/>
      <sheetName val="Dashboards"/>
      <sheetName val="Charts data"/>
      <sheetName val="CAGR"/>
    </sheetNames>
    <sheetDataSet>
      <sheetData sheetId="0"/>
      <sheetData sheetId="1"/>
      <sheetData sheetId="2">
        <row r="2">
          <cell r="C2">
            <v>171890000</v>
          </cell>
          <cell r="D2">
            <v>130632000</v>
          </cell>
          <cell r="E2">
            <v>41258000</v>
          </cell>
          <cell r="G2">
            <v>21258000</v>
          </cell>
          <cell r="I2">
            <v>19258000</v>
          </cell>
          <cell r="K2">
            <v>4000000</v>
          </cell>
          <cell r="L2">
            <v>25000000</v>
          </cell>
          <cell r="M2">
            <v>14500000</v>
          </cell>
          <cell r="N2">
            <v>55000000</v>
          </cell>
          <cell r="P2">
            <v>33000000</v>
          </cell>
        </row>
        <row r="3">
          <cell r="C3">
            <v>180500000</v>
          </cell>
          <cell r="D3">
            <v>137000000</v>
          </cell>
          <cell r="E3">
            <v>43500000</v>
          </cell>
          <cell r="G3">
            <v>22500000</v>
          </cell>
          <cell r="I3">
            <v>20400000</v>
          </cell>
          <cell r="K3">
            <v>4500000</v>
          </cell>
          <cell r="L3">
            <v>27000000</v>
          </cell>
          <cell r="M3">
            <v>15000000</v>
          </cell>
          <cell r="N3">
            <v>58000000</v>
          </cell>
          <cell r="P3">
            <v>35000000</v>
          </cell>
        </row>
        <row r="4">
          <cell r="C4">
            <v>190000000</v>
          </cell>
          <cell r="D4">
            <v>145000000</v>
          </cell>
          <cell r="E4">
            <v>45000000</v>
          </cell>
          <cell r="G4">
            <v>23000000</v>
          </cell>
          <cell r="I4">
            <v>20800000</v>
          </cell>
          <cell r="K4">
            <v>5000000</v>
          </cell>
          <cell r="L4">
            <v>28000000</v>
          </cell>
          <cell r="M4">
            <v>15500000</v>
          </cell>
          <cell r="N4">
            <v>60000000</v>
          </cell>
          <cell r="P4">
            <v>36000000</v>
          </cell>
        </row>
        <row r="5">
          <cell r="C5">
            <v>200000000</v>
          </cell>
          <cell r="D5">
            <v>152000000</v>
          </cell>
          <cell r="E5">
            <v>48000000</v>
          </cell>
          <cell r="G5">
            <v>25000000</v>
          </cell>
          <cell r="I5">
            <v>22700000</v>
          </cell>
          <cell r="K5">
            <v>5500000</v>
          </cell>
          <cell r="L5">
            <v>30000000</v>
          </cell>
          <cell r="M5">
            <v>16000000</v>
          </cell>
          <cell r="N5">
            <v>63000000</v>
          </cell>
          <cell r="P5">
            <v>38000000</v>
          </cell>
        </row>
        <row r="6">
          <cell r="C6">
            <v>112300000</v>
          </cell>
          <cell r="D6">
            <v>92000000</v>
          </cell>
          <cell r="E6">
            <v>20300000</v>
          </cell>
          <cell r="G6">
            <v>2300000</v>
          </cell>
          <cell r="I6">
            <v>-200000</v>
          </cell>
          <cell r="K6">
            <v>2000000</v>
          </cell>
          <cell r="L6">
            <v>10000000</v>
          </cell>
          <cell r="M6">
            <v>8300000</v>
          </cell>
          <cell r="N6">
            <v>30000000</v>
          </cell>
          <cell r="P6">
            <v>14000000</v>
          </cell>
        </row>
        <row r="7">
          <cell r="C7">
            <v>116000000</v>
          </cell>
          <cell r="D7">
            <v>95000000</v>
          </cell>
          <cell r="E7">
            <v>21000000</v>
          </cell>
          <cell r="G7">
            <v>2500000</v>
          </cell>
          <cell r="I7">
            <v>-100000</v>
          </cell>
          <cell r="K7">
            <v>2200000</v>
          </cell>
          <cell r="L7">
            <v>10500000</v>
          </cell>
          <cell r="M7">
            <v>8500000</v>
          </cell>
          <cell r="N7">
            <v>31000000</v>
          </cell>
          <cell r="P7">
            <v>14500000</v>
          </cell>
        </row>
        <row r="8">
          <cell r="C8">
            <v>120000000</v>
          </cell>
          <cell r="D8">
            <v>98000000</v>
          </cell>
          <cell r="E8">
            <v>22000000</v>
          </cell>
          <cell r="G8">
            <v>3000000</v>
          </cell>
          <cell r="I8">
            <v>300000</v>
          </cell>
          <cell r="K8">
            <v>2400000</v>
          </cell>
          <cell r="L8">
            <v>11000000</v>
          </cell>
          <cell r="M8">
            <v>8800000</v>
          </cell>
          <cell r="N8">
            <v>32000000</v>
          </cell>
          <cell r="P8">
            <v>15000000</v>
          </cell>
        </row>
        <row r="9">
          <cell r="C9">
            <v>125000000</v>
          </cell>
          <cell r="D9">
            <v>102000000</v>
          </cell>
          <cell r="E9">
            <v>23000000</v>
          </cell>
          <cell r="G9">
            <v>3500000</v>
          </cell>
          <cell r="I9">
            <v>700000</v>
          </cell>
          <cell r="K9">
            <v>2600000</v>
          </cell>
          <cell r="L9">
            <v>11500000</v>
          </cell>
          <cell r="M9">
            <v>9000000</v>
          </cell>
          <cell r="N9">
            <v>33000000</v>
          </cell>
          <cell r="P9">
            <v>15500000</v>
          </cell>
        </row>
        <row r="10">
          <cell r="C10">
            <v>132500000</v>
          </cell>
          <cell r="D10">
            <v>103500000</v>
          </cell>
          <cell r="E10">
            <v>29000000</v>
          </cell>
          <cell r="G10">
            <v>12000000</v>
          </cell>
          <cell r="I10">
            <v>10500000</v>
          </cell>
          <cell r="K10">
            <v>3000000</v>
          </cell>
          <cell r="L10">
            <v>12000000</v>
          </cell>
          <cell r="M10">
            <v>8000000</v>
          </cell>
          <cell r="N10">
            <v>40000000</v>
          </cell>
          <cell r="P10">
            <v>22000000</v>
          </cell>
        </row>
        <row r="11">
          <cell r="C11">
            <v>138000000</v>
          </cell>
          <cell r="D11">
            <v>108000000</v>
          </cell>
          <cell r="E11">
            <v>30000000</v>
          </cell>
          <cell r="G11">
            <v>12500000</v>
          </cell>
          <cell r="I11">
            <v>10900000</v>
          </cell>
          <cell r="K11">
            <v>3200000</v>
          </cell>
          <cell r="L11">
            <v>12500000</v>
          </cell>
          <cell r="M11">
            <v>8200000</v>
          </cell>
          <cell r="N11">
            <v>42000000</v>
          </cell>
          <cell r="P11">
            <v>23500000</v>
          </cell>
        </row>
        <row r="12">
          <cell r="C12">
            <v>144000000</v>
          </cell>
          <cell r="D12">
            <v>112500000</v>
          </cell>
          <cell r="E12">
            <v>31500000</v>
          </cell>
          <cell r="G12">
            <v>13500000</v>
          </cell>
          <cell r="I12">
            <v>11800000</v>
          </cell>
          <cell r="K12">
            <v>3400000</v>
          </cell>
          <cell r="L12">
            <v>13000000</v>
          </cell>
          <cell r="M12">
            <v>8500000</v>
          </cell>
          <cell r="N12">
            <v>44000000</v>
          </cell>
          <cell r="P12">
            <v>25000000</v>
          </cell>
        </row>
        <row r="13">
          <cell r="C13">
            <v>150000000</v>
          </cell>
          <cell r="D13">
            <v>118000000</v>
          </cell>
          <cell r="E13">
            <v>32000000</v>
          </cell>
          <cell r="G13">
            <v>13500000</v>
          </cell>
          <cell r="I13">
            <v>11700000</v>
          </cell>
          <cell r="K13">
            <v>3600000</v>
          </cell>
          <cell r="L13">
            <v>13500000</v>
          </cell>
          <cell r="M13">
            <v>8800000</v>
          </cell>
          <cell r="N13">
            <v>46000000</v>
          </cell>
          <cell r="P13">
            <v>26500000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sqref="A1:XFD1048576"/>
    </sheetView>
  </sheetViews>
  <sheetFormatPr defaultRowHeight="15"/>
  <cols>
    <col min="1" max="1" width="26.85546875" bestFit="1" customWidth="1"/>
    <col min="2" max="2" width="9.140625" style="4"/>
    <col min="3" max="3" width="11.5703125" style="4" bestFit="1" customWidth="1"/>
    <col min="4" max="13" width="9.140625" style="4"/>
  </cols>
  <sheetData>
    <row r="1" spans="1:15" ht="6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>
      <c r="A2" s="5" t="s">
        <v>9</v>
      </c>
      <c r="B2" s="6">
        <v>2022</v>
      </c>
      <c r="C2" s="7">
        <f>'[1]Raw data'!E2/'[1]Raw data'!D2</f>
        <v>0.31583379263886335</v>
      </c>
      <c r="D2" s="7">
        <f>'[1]Raw data'!I2/'[1]Raw data'!C2</f>
        <v>0.11203676770027343</v>
      </c>
      <c r="E2" s="7">
        <f>'[1]Raw data'!G2/'[1]Raw data'!C2</f>
        <v>0.12367211588806795</v>
      </c>
      <c r="F2" s="7">
        <f>'[1]Raw data'!L2/'[1]Raw data'!M2</f>
        <v>1.7241379310344827</v>
      </c>
      <c r="G2" s="7">
        <f>'[1]Raw data'!N2/'[1]Raw data'!P2</f>
        <v>1.6666666666666667</v>
      </c>
      <c r="H2" s="7">
        <f>'[1]Raw data'!I2/'[1]Raw data'!P2</f>
        <v>0.58357575757575753</v>
      </c>
      <c r="I2" s="7">
        <f>'[1]Raw data'!D2/'[1]Raw data'!K2</f>
        <v>32.658000000000001</v>
      </c>
      <c r="J2" s="8"/>
      <c r="K2" s="8"/>
      <c r="L2" s="8"/>
      <c r="M2" s="8"/>
      <c r="N2" s="8"/>
      <c r="O2" s="8"/>
    </row>
    <row r="3" spans="1:15">
      <c r="A3" s="5" t="s">
        <v>9</v>
      </c>
      <c r="B3" s="6">
        <v>2023</v>
      </c>
      <c r="C3" s="7">
        <f>'[1]Raw data'!E3/'[1]Raw data'!D3</f>
        <v>0.31751824817518248</v>
      </c>
      <c r="D3" s="7">
        <f>'[1]Raw data'!I3/'[1]Raw data'!C3</f>
        <v>0.11301939058171745</v>
      </c>
      <c r="E3" s="7">
        <f>'[1]Raw data'!G3/'[1]Raw data'!C3</f>
        <v>0.12465373961218837</v>
      </c>
      <c r="F3" s="7">
        <f>'[1]Raw data'!L3/'[1]Raw data'!M3</f>
        <v>1.8</v>
      </c>
      <c r="G3" s="7">
        <f>'[1]Raw data'!N3/'[1]Raw data'!P3</f>
        <v>1.6571428571428573</v>
      </c>
      <c r="H3" s="7">
        <f>'[1]Raw data'!I3/'[1]Raw data'!P3</f>
        <v>0.58285714285714285</v>
      </c>
      <c r="I3" s="7">
        <f>'[1]Raw data'!D3/'[1]Raw data'!K3</f>
        <v>30.444444444444443</v>
      </c>
      <c r="J3" s="8"/>
      <c r="K3" s="8"/>
      <c r="L3" s="8"/>
      <c r="M3" s="8"/>
      <c r="N3" s="8"/>
      <c r="O3" s="8"/>
    </row>
    <row r="4" spans="1:15">
      <c r="A4" s="5" t="s">
        <v>9</v>
      </c>
      <c r="B4" s="6">
        <v>2024</v>
      </c>
      <c r="C4" s="7">
        <f>'[1]Raw data'!E4/'[1]Raw data'!D4</f>
        <v>0.31034482758620691</v>
      </c>
      <c r="D4" s="7">
        <f>'[1]Raw data'!I4/'[1]Raw data'!C4</f>
        <v>0.10947368421052632</v>
      </c>
      <c r="E4" s="7">
        <f>'[1]Raw data'!G4/'[1]Raw data'!C4</f>
        <v>0.12105263157894737</v>
      </c>
      <c r="F4" s="7">
        <f>'[1]Raw data'!L4/'[1]Raw data'!M4</f>
        <v>1.8064516129032258</v>
      </c>
      <c r="G4" s="7">
        <f>'[1]Raw data'!N4/'[1]Raw data'!P4</f>
        <v>1.6666666666666667</v>
      </c>
      <c r="H4" s="7">
        <f>'[1]Raw data'!I4/'[1]Raw data'!P4</f>
        <v>0.57777777777777772</v>
      </c>
      <c r="I4" s="7">
        <f>'[1]Raw data'!D4/'[1]Raw data'!K4</f>
        <v>29</v>
      </c>
      <c r="J4" s="8"/>
      <c r="K4" s="8"/>
      <c r="L4" s="8"/>
      <c r="M4" s="8"/>
      <c r="N4" s="8"/>
      <c r="O4" s="8"/>
    </row>
    <row r="5" spans="1:15">
      <c r="A5" s="5" t="s">
        <v>9</v>
      </c>
      <c r="B5" s="6">
        <v>2025</v>
      </c>
      <c r="C5" s="7">
        <f>'[1]Raw data'!E5/'[1]Raw data'!D5</f>
        <v>0.31578947368421051</v>
      </c>
      <c r="D5" s="7">
        <f>'[1]Raw data'!I5/'[1]Raw data'!C5</f>
        <v>0.1135</v>
      </c>
      <c r="E5" s="7">
        <f>'[1]Raw data'!G5/'[1]Raw data'!C5</f>
        <v>0.125</v>
      </c>
      <c r="F5" s="7">
        <f>'[1]Raw data'!L5/'[1]Raw data'!M5</f>
        <v>1.875</v>
      </c>
      <c r="G5" s="7">
        <f>'[1]Raw data'!N5/'[1]Raw data'!P5</f>
        <v>1.6578947368421053</v>
      </c>
      <c r="H5" s="7">
        <f>'[1]Raw data'!I5/'[1]Raw data'!P5</f>
        <v>0.59736842105263155</v>
      </c>
      <c r="I5" s="7">
        <f>'[1]Raw data'!D5/'[1]Raw data'!K5</f>
        <v>27.636363636363637</v>
      </c>
      <c r="J5" s="8"/>
      <c r="K5" s="8"/>
      <c r="L5" s="8"/>
      <c r="M5" s="8"/>
      <c r="N5" s="8"/>
      <c r="O5" s="8"/>
    </row>
    <row r="6" spans="1:15">
      <c r="A6" s="5" t="s">
        <v>10</v>
      </c>
      <c r="B6" s="6">
        <v>2022</v>
      </c>
      <c r="C6" s="7">
        <f>'[1]Raw data'!E6/'[1]Raw data'!D6</f>
        <v>0.22065217391304348</v>
      </c>
      <c r="D6" s="7">
        <f>'[1]Raw data'!I6/'[1]Raw data'!C6</f>
        <v>-1.7809439002671415E-3</v>
      </c>
      <c r="E6" s="7">
        <f>'[1]Raw data'!G6/'[1]Raw data'!C6</f>
        <v>2.0480854853072127E-2</v>
      </c>
      <c r="F6" s="7">
        <f>'[1]Raw data'!L6/'[1]Raw data'!M6</f>
        <v>1.2048192771084338</v>
      </c>
      <c r="G6" s="7">
        <f>'[1]Raw data'!N6/'[1]Raw data'!P6</f>
        <v>2.1428571428571428</v>
      </c>
      <c r="H6" s="7">
        <f>'[1]Raw data'!I6/'[1]Raw data'!P6</f>
        <v>-1.4285714285714285E-2</v>
      </c>
      <c r="I6" s="7">
        <f>'[1]Raw data'!D6/'[1]Raw data'!K6</f>
        <v>46</v>
      </c>
      <c r="J6" s="8"/>
      <c r="K6" s="8"/>
      <c r="L6" s="8"/>
      <c r="M6" s="8"/>
      <c r="N6" s="8"/>
      <c r="O6" s="8"/>
    </row>
    <row r="7" spans="1:15">
      <c r="A7" s="5" t="s">
        <v>10</v>
      </c>
      <c r="B7" s="6">
        <v>2023</v>
      </c>
      <c r="C7" s="7">
        <f>'[1]Raw data'!E7/'[1]Raw data'!D7</f>
        <v>0.22105263157894736</v>
      </c>
      <c r="D7" s="7">
        <f>'[1]Raw data'!I7/'[1]Raw data'!C7</f>
        <v>-8.6206896551724137E-4</v>
      </c>
      <c r="E7" s="7">
        <f>'[1]Raw data'!G7/'[1]Raw data'!C7</f>
        <v>2.1551724137931036E-2</v>
      </c>
      <c r="F7" s="7">
        <f>'[1]Raw data'!L7/'[1]Raw data'!M7</f>
        <v>1.2352941176470589</v>
      </c>
      <c r="G7" s="7">
        <f>'[1]Raw data'!N7/'[1]Raw data'!P7</f>
        <v>2.1379310344827585</v>
      </c>
      <c r="H7" s="7">
        <f>'[1]Raw data'!I7/'[1]Raw data'!P7</f>
        <v>-6.8965517241379309E-3</v>
      </c>
      <c r="I7" s="7">
        <f>'[1]Raw data'!D7/'[1]Raw data'!K7</f>
        <v>43.18181818181818</v>
      </c>
      <c r="J7" s="8"/>
      <c r="K7" s="8"/>
      <c r="L7" s="8"/>
      <c r="M7" s="8"/>
      <c r="N7" s="8"/>
      <c r="O7" s="8"/>
    </row>
    <row r="8" spans="1:15">
      <c r="A8" s="5" t="s">
        <v>10</v>
      </c>
      <c r="B8" s="6">
        <v>2024</v>
      </c>
      <c r="C8" s="7">
        <f>'[1]Raw data'!E8/'[1]Raw data'!D8</f>
        <v>0.22448979591836735</v>
      </c>
      <c r="D8" s="7">
        <f>'[1]Raw data'!I8/'[1]Raw data'!C8</f>
        <v>2.5000000000000001E-3</v>
      </c>
      <c r="E8" s="7">
        <f>'[1]Raw data'!G8/'[1]Raw data'!C8</f>
        <v>2.5000000000000001E-2</v>
      </c>
      <c r="F8" s="7">
        <f>'[1]Raw data'!L8/'[1]Raw data'!M8</f>
        <v>1.25</v>
      </c>
      <c r="G8" s="7">
        <f>'[1]Raw data'!N8/'[1]Raw data'!P8</f>
        <v>2.1333333333333333</v>
      </c>
      <c r="H8" s="7">
        <f>'[1]Raw data'!I8/'[1]Raw data'!P8</f>
        <v>0.02</v>
      </c>
      <c r="I8" s="7">
        <f>'[1]Raw data'!D8/'[1]Raw data'!K8</f>
        <v>40.833333333333336</v>
      </c>
      <c r="J8" s="8"/>
      <c r="K8" s="8"/>
      <c r="L8" s="8"/>
      <c r="M8" s="8"/>
      <c r="N8" s="8"/>
      <c r="O8" s="8"/>
    </row>
    <row r="9" spans="1:15">
      <c r="A9" s="5" t="s">
        <v>10</v>
      </c>
      <c r="B9" s="6">
        <v>2025</v>
      </c>
      <c r="C9" s="7">
        <f>'[1]Raw data'!E9/'[1]Raw data'!D9</f>
        <v>0.22549019607843138</v>
      </c>
      <c r="D9" s="7">
        <f>'[1]Raw data'!I9/'[1]Raw data'!C9</f>
        <v>5.5999999999999999E-3</v>
      </c>
      <c r="E9" s="7">
        <f>'[1]Raw data'!G9/'[1]Raw data'!C9</f>
        <v>2.8000000000000001E-2</v>
      </c>
      <c r="F9" s="7">
        <f>'[1]Raw data'!L9/'[1]Raw data'!M9</f>
        <v>1.2777777777777777</v>
      </c>
      <c r="G9" s="7">
        <f>'[1]Raw data'!N9/'[1]Raw data'!P9</f>
        <v>2.129032258064516</v>
      </c>
      <c r="H9" s="7">
        <f>'[1]Raw data'!I9/'[1]Raw data'!P9</f>
        <v>4.5161290322580643E-2</v>
      </c>
      <c r="I9" s="7">
        <f>'[1]Raw data'!D9/'[1]Raw data'!K9</f>
        <v>39.230769230769234</v>
      </c>
    </row>
    <row r="10" spans="1:15">
      <c r="A10" s="5" t="s">
        <v>11</v>
      </c>
      <c r="B10" s="6">
        <v>2022</v>
      </c>
      <c r="C10" s="7">
        <f>'[1]Raw data'!E10/'[1]Raw data'!D10</f>
        <v>0.28019323671497587</v>
      </c>
      <c r="D10" s="7">
        <f>'[1]Raw data'!I10/'[1]Raw data'!C10</f>
        <v>7.9245283018867921E-2</v>
      </c>
      <c r="E10" s="7">
        <f>'[1]Raw data'!G10/'[1]Raw data'!C10</f>
        <v>9.056603773584905E-2</v>
      </c>
      <c r="F10" s="7">
        <f>'[1]Raw data'!L10/'[1]Raw data'!M10</f>
        <v>1.5</v>
      </c>
      <c r="G10" s="7">
        <f>'[1]Raw data'!N10/'[1]Raw data'!P10</f>
        <v>1.8181818181818181</v>
      </c>
      <c r="H10" s="7">
        <f>'[1]Raw data'!I10/'[1]Raw data'!P10</f>
        <v>0.47727272727272729</v>
      </c>
      <c r="I10" s="7">
        <f>'[1]Raw data'!D10/'[1]Raw data'!K10</f>
        <v>34.5</v>
      </c>
    </row>
    <row r="11" spans="1:15">
      <c r="A11" s="5" t="s">
        <v>11</v>
      </c>
      <c r="B11" s="6">
        <v>2023</v>
      </c>
      <c r="C11" s="7">
        <f>'[1]Raw data'!E11/'[1]Raw data'!D11</f>
        <v>0.27777777777777779</v>
      </c>
      <c r="D11" s="7">
        <f>'[1]Raw data'!I11/'[1]Raw data'!C11</f>
        <v>7.8985507246376818E-2</v>
      </c>
      <c r="E11" s="7">
        <f>'[1]Raw data'!G11/'[1]Raw data'!C11</f>
        <v>9.0579710144927536E-2</v>
      </c>
      <c r="F11" s="7">
        <f>'[1]Raw data'!L11/'[1]Raw data'!M11</f>
        <v>1.524390243902439</v>
      </c>
      <c r="G11" s="7">
        <f>'[1]Raw data'!N11/'[1]Raw data'!P11</f>
        <v>1.7872340425531914</v>
      </c>
      <c r="H11" s="7">
        <f>'[1]Raw data'!I11/'[1]Raw data'!P11</f>
        <v>0.46382978723404256</v>
      </c>
      <c r="I11" s="7">
        <f>'[1]Raw data'!D11/'[1]Raw data'!K11</f>
        <v>33.75</v>
      </c>
    </row>
    <row r="12" spans="1:15">
      <c r="A12" s="5" t="s">
        <v>11</v>
      </c>
      <c r="B12" s="6">
        <v>2024</v>
      </c>
      <c r="C12" s="7">
        <f>'[1]Raw data'!E12/'[1]Raw data'!D12</f>
        <v>0.28000000000000003</v>
      </c>
      <c r="D12" s="7">
        <f>'[1]Raw data'!I12/'[1]Raw data'!C12</f>
        <v>8.1944444444444445E-2</v>
      </c>
      <c r="E12" s="7">
        <f>'[1]Raw data'!G12/'[1]Raw data'!C12</f>
        <v>9.375E-2</v>
      </c>
      <c r="F12" s="7">
        <f>'[1]Raw data'!L12/'[1]Raw data'!M12</f>
        <v>1.5294117647058822</v>
      </c>
      <c r="G12" s="7">
        <f>'[1]Raw data'!N12/'[1]Raw data'!P12</f>
        <v>1.76</v>
      </c>
      <c r="H12" s="7">
        <f>'[1]Raw data'!I12/'[1]Raw data'!P12</f>
        <v>0.47199999999999998</v>
      </c>
      <c r="I12" s="7">
        <f>'[1]Raw data'!D12/'[1]Raw data'!K12</f>
        <v>33.088235294117645</v>
      </c>
    </row>
    <row r="13" spans="1:15">
      <c r="A13" s="5" t="s">
        <v>11</v>
      </c>
      <c r="B13" s="6">
        <v>2025</v>
      </c>
      <c r="C13" s="7">
        <f>'[1]Raw data'!E13/'[1]Raw data'!D13</f>
        <v>0.2711864406779661</v>
      </c>
      <c r="D13" s="7">
        <f>'[1]Raw data'!I13/'[1]Raw data'!C13</f>
        <v>7.8E-2</v>
      </c>
      <c r="E13" s="7">
        <f>'[1]Raw data'!G13/'[1]Raw data'!C13</f>
        <v>0.09</v>
      </c>
      <c r="F13" s="7">
        <f>'[1]Raw data'!L13/'[1]Raw data'!M13</f>
        <v>1.5340909090909092</v>
      </c>
      <c r="G13" s="7">
        <f>'[1]Raw data'!N13/'[1]Raw data'!P13</f>
        <v>1.7358490566037736</v>
      </c>
      <c r="H13" s="7">
        <f>'[1]Raw data'!I13/'[1]Raw data'!P13</f>
        <v>0.44150943396226416</v>
      </c>
      <c r="I13" s="7">
        <f>'[1]Raw data'!D13/'[1]Raw data'!K13</f>
        <v>32.777777777777779</v>
      </c>
    </row>
    <row r="14" spans="1:15">
      <c r="C14" s="8"/>
      <c r="D14" s="8"/>
      <c r="E14" s="8"/>
      <c r="F14" s="8"/>
      <c r="G14" s="8"/>
      <c r="H14" s="8"/>
      <c r="I14" s="8"/>
    </row>
    <row r="15" spans="1:15">
      <c r="C15" s="8"/>
      <c r="D15" s="8"/>
      <c r="E15" s="8"/>
      <c r="F15" s="8"/>
      <c r="G15" s="8"/>
      <c r="H15" s="8"/>
      <c r="I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2025-12-31T13:13:49Z</dcterms:modified>
</cp:coreProperties>
</file>